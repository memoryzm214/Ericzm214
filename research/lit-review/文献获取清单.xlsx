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获取清单" sheetId="1" state="visible" r:id="rId3"/>
    <sheet name="统计" sheetId="2" state="visible" r:id="rId4"/>
    <sheet name="说明" sheetId="3" state="visible" r:id="rId5"/>
  </sheets>
  <definedNames>
    <definedName function="false" hidden="true" localSheetId="0" name="_xlnm._FilterDatabase" vbProcedure="false">获取清单!$A$4:$M$110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<sst xmlns="http://schemas.openxmlformats.org/spreadsheetml/2006/main" count="1186" uniqueCount="439">
  <si>
    <r>
      <rPr>
        <b val="true"/>
        <sz val="14"/>
        <color rgb="FF1F4E79"/>
        <rFont val="WenQuanYi Zen Hei"/>
        <family val="2"/>
      </rPr>
      <t xml:space="preserve">文献获取清单 </t>
    </r>
    <r>
      <rPr>
        <b val="true"/>
        <sz val="14"/>
        <color rgb="FF1F4E79"/>
        <rFont val="微软雅黑"/>
        <family val="0"/>
        <charset val="1"/>
      </rPr>
      <t xml:space="preserve">· </t>
    </r>
    <r>
      <rPr>
        <b val="true"/>
        <sz val="14"/>
        <color rgb="FF1F4E79"/>
        <rFont val="WenQuanYi Zen Hei"/>
        <family val="2"/>
      </rPr>
      <t xml:space="preserve">长江文化 </t>
    </r>
    <r>
      <rPr>
        <b val="true"/>
        <sz val="14"/>
        <color rgb="FF1F4E79"/>
        <rFont val="微软雅黑"/>
        <family val="0"/>
        <charset val="1"/>
      </rPr>
      <t xml:space="preserve">× </t>
    </r>
    <r>
      <rPr>
        <b val="true"/>
        <sz val="14"/>
        <color rgb="FF1F4E79"/>
        <rFont val="WenQuanYi Zen Hei"/>
        <family val="2"/>
      </rPr>
      <t xml:space="preserve">游戏化文化传播 </t>
    </r>
    <r>
      <rPr>
        <b val="true"/>
        <sz val="14"/>
        <color rgb="FF1F4E79"/>
        <rFont val="微软雅黑"/>
        <family val="0"/>
        <charset val="1"/>
      </rPr>
      <t xml:space="preserve">× AI</t>
    </r>
    <r>
      <rPr>
        <b val="true"/>
        <sz val="14"/>
        <color rgb="FF1F4E79"/>
        <rFont val="WenQuanYi Zen Hei"/>
        <family val="2"/>
      </rPr>
      <t xml:space="preserve">文化</t>
    </r>
    <r>
      <rPr>
        <b val="true"/>
        <sz val="14"/>
        <color rgb="FF1F4E79"/>
        <rFont val="微软雅黑"/>
        <family val="0"/>
        <charset val="1"/>
      </rPr>
      <t xml:space="preserve">IP </t>
    </r>
    <r>
      <rPr>
        <b val="true"/>
        <sz val="14"/>
        <color rgb="FF1F4E79"/>
        <rFont val="WenQuanYi Zen Hei"/>
        <family val="2"/>
      </rPr>
      <t xml:space="preserve">文献库 </t>
    </r>
    <r>
      <rPr>
        <b val="true"/>
        <sz val="14"/>
        <color rgb="FF1F4E79"/>
        <rFont val="微软雅黑"/>
        <family val="0"/>
        <charset val="1"/>
      </rPr>
      <t xml:space="preserve">v1.0</t>
    </r>
  </si>
  <si>
    <r>
      <rPr>
        <sz val="9"/>
        <color rgb="FF6B6B6B"/>
        <rFont val="WenQuanYi Zen Hei"/>
        <family val="2"/>
      </rPr>
      <t xml:space="preserve">共 </t>
    </r>
    <r>
      <rPr>
        <sz val="9"/>
        <color rgb="FF6B6B6B"/>
        <rFont val="微软雅黑"/>
        <family val="0"/>
        <charset val="1"/>
      </rPr>
      <t xml:space="preserve">106 </t>
    </r>
    <r>
      <rPr>
        <sz val="9"/>
        <color rgb="FF6B6B6B"/>
        <rFont val="WenQuanYi Zen Hei"/>
        <family val="2"/>
      </rPr>
      <t xml:space="preserve">条。黄色底色的「获取状态」列是给你填的，其余为只读信息。当前全部为「未获取」——建库环境无法联网下载，请在本机运行 </t>
    </r>
    <r>
      <rPr>
        <sz val="9"/>
        <color rgb="FF6B6B6B"/>
        <rFont val="微软雅黑"/>
        <family val="0"/>
        <charset val="1"/>
      </rPr>
      <t xml:space="preserve">download_oa_pdfs.sh</t>
    </r>
    <r>
      <rPr>
        <sz val="9"/>
        <color rgb="FF6B6B6B"/>
        <rFont val="WenQuanYi Zen Hei"/>
        <family val="2"/>
      </rPr>
      <t xml:space="preserve">。</t>
    </r>
  </si>
  <si>
    <t xml:space="preserve">编号</t>
  </si>
  <si>
    <t xml:space="preserve">分组</t>
  </si>
  <si>
    <t xml:space="preserve">子组</t>
  </si>
  <si>
    <t xml:space="preserve">优先级</t>
  </si>
  <si>
    <t xml:space="preserve">标记</t>
  </si>
  <si>
    <t xml:space="preserve">标题</t>
  </si>
  <si>
    <t xml:space="preserve">年份</t>
  </si>
  <si>
    <t xml:space="preserve">出处</t>
  </si>
  <si>
    <t xml:space="preserve">DOI</t>
  </si>
  <si>
    <t xml:space="preserve">获取方式</t>
  </si>
  <si>
    <t xml:space="preserve">获取状态</t>
  </si>
  <si>
    <t xml:space="preserve">链接</t>
  </si>
  <si>
    <t xml:space="preserve">备注</t>
  </si>
  <si>
    <t xml:space="preserve">A1-1</t>
  </si>
  <si>
    <r>
      <rPr>
        <sz val="10"/>
        <color rgb="FF1A1A1A"/>
        <rFont val="微软雅黑"/>
        <family val="0"/>
        <charset val="1"/>
      </rPr>
      <t xml:space="preserve">A </t>
    </r>
    <r>
      <rPr>
        <sz val="10"/>
        <color rgb="FF1A1A1A"/>
        <rFont val="WenQuanYi Zen Hei"/>
        <family val="2"/>
      </rPr>
      <t xml:space="preserve">文化游戏化转译与文化学习</t>
    </r>
  </si>
  <si>
    <r>
      <rPr>
        <sz val="10"/>
        <color rgb="FF1A1A1A"/>
        <rFont val="微软雅黑"/>
        <family val="0"/>
        <charset val="1"/>
      </rPr>
      <t xml:space="preserve">A-1 </t>
    </r>
    <r>
      <rPr>
        <sz val="10"/>
        <color rgb="FF1A1A1A"/>
        <rFont val="WenQuanYi Zen Hei"/>
        <family val="2"/>
      </rPr>
      <t xml:space="preserve">直接前序</t>
    </r>
  </si>
  <si>
    <t xml:space="preserve">必读</t>
  </si>
  <si>
    <t xml:space="preserve">Beyond entertainment: how intangible cultural heritage in video games shapes youth cultural identity</t>
  </si>
  <si>
    <t xml:space="preserve">2026</t>
  </si>
  <si>
    <t xml:space="preserve">2026, Frontiers in Psychology</t>
  </si>
  <si>
    <t xml:space="preserve">10.3389/fpsyg.2026.1855866</t>
  </si>
  <si>
    <t xml:space="preserve">① 脚本自动下载</t>
  </si>
  <si>
    <t xml:space="preserve">未获取</t>
  </si>
  <si>
    <t xml:space="preserve">打开</t>
  </si>
  <si>
    <r>
      <rPr>
        <sz val="9"/>
        <color rgb="FF6B6B6B"/>
        <rFont val="WenQuanYi Zen Hei"/>
        <family val="2"/>
      </rPr>
      <t xml:space="preserve">运行 </t>
    </r>
    <r>
      <rPr>
        <sz val="9"/>
        <color rgb="FF6B6B6B"/>
        <rFont val="微软雅黑"/>
        <family val="0"/>
        <charset val="1"/>
      </rPr>
      <t xml:space="preserve">download_oa_pdfs.sh </t>
    </r>
    <r>
      <rPr>
        <sz val="9"/>
        <color rgb="FF6B6B6B"/>
        <rFont val="WenQuanYi Zen Hei"/>
        <family val="2"/>
      </rPr>
      <t xml:space="preserve">自动抓取</t>
    </r>
  </si>
  <si>
    <t xml:space="preserve">A1-2</t>
  </si>
  <si>
    <r>
      <rPr>
        <sz val="10"/>
        <color rgb="FF1A1A1A"/>
        <rFont val="WenQuanYi Zen Hei"/>
        <family val="2"/>
      </rPr>
      <t xml:space="preserve">量表</t>
    </r>
    <r>
      <rPr>
        <sz val="10"/>
        <color rgb="FF1A1A1A"/>
        <rFont val="微软雅黑"/>
        <family val="0"/>
        <charset val="1"/>
      </rPr>
      <t xml:space="preserve">·</t>
    </r>
    <r>
      <rPr>
        <sz val="10"/>
        <color rgb="FF1A1A1A"/>
        <rFont val="WenQuanYi Zen Hei"/>
        <family val="2"/>
      </rPr>
      <t xml:space="preserve">方法</t>
    </r>
  </si>
  <si>
    <t xml:space="preserve">Integrating intangible cultural heritage elements into mobile games: an exploration of player cultural identity</t>
  </si>
  <si>
    <t xml:space="preserve">2026, Information Technology &amp; People, 39(1)</t>
  </si>
  <si>
    <t xml:space="preserve">10.1108/ITP-01-2024-0088</t>
  </si>
  <si>
    <r>
      <rPr>
        <sz val="10"/>
        <color rgb="FF1A1A1A"/>
        <rFont val="WenQuanYi Zen Hei"/>
        <family val="2"/>
      </rPr>
      <t xml:space="preserve">③ 需订阅</t>
    </r>
    <r>
      <rPr>
        <sz val="10"/>
        <color rgb="FF1A1A1A"/>
        <rFont val="微软雅黑"/>
        <family val="0"/>
        <charset val="1"/>
      </rPr>
      <t xml:space="preserve">·</t>
    </r>
    <r>
      <rPr>
        <sz val="10"/>
        <color rgb="FF1A1A1A"/>
        <rFont val="WenQuanYi Zen Hei"/>
        <family val="2"/>
      </rPr>
      <t xml:space="preserve">走图书馆</t>
    </r>
  </si>
  <si>
    <r>
      <rPr>
        <sz val="9"/>
        <color rgb="FF6B6B6B"/>
        <rFont val="WenQuanYi Zen Hei"/>
        <family val="2"/>
      </rPr>
      <t xml:space="preserve">湖工大图书馆 </t>
    </r>
    <r>
      <rPr>
        <sz val="9"/>
        <color rgb="FF6B6B6B"/>
        <rFont val="微软雅黑"/>
        <family val="0"/>
        <charset val="1"/>
      </rPr>
      <t xml:space="preserve">CNKI / Web of Science / ScienceDirect </t>
    </r>
    <r>
      <rPr>
        <sz val="9"/>
        <color rgb="FF6B6B6B"/>
        <rFont val="WenQuanYi Zen Hei"/>
        <family val="2"/>
      </rPr>
      <t xml:space="preserve">镜像</t>
    </r>
  </si>
  <si>
    <t xml:space="preserve">A1-3</t>
  </si>
  <si>
    <t xml:space="preserve">Enhancing handicraft intangible cultural heritage learning through immersive VR serious games: a multimodal study on natural interaction effectiveness</t>
  </si>
  <si>
    <t xml:space="preserve">10.3389/fpsyg.2026.1880795</t>
  </si>
  <si>
    <t xml:space="preserve">A1-4</t>
  </si>
  <si>
    <t xml:space="preserve">The art and science of serious game design: a quasi-experimental study based on self-determination theory in traditional Chinese culture education</t>
  </si>
  <si>
    <t xml:space="preserve">2025</t>
  </si>
  <si>
    <t xml:space="preserve">2025, Frontiers in Psychology</t>
  </si>
  <si>
    <t xml:space="preserve">10.3389/fpsyg.2025.1536513</t>
  </si>
  <si>
    <t xml:space="preserve">A1-5</t>
  </si>
  <si>
    <t xml:space="preserve">Understanding the key factors influencing continued use intention toward ICH-themed virtual reality games</t>
  </si>
  <si>
    <t xml:space="preserve">2026, Frontiers in Virtual Reality</t>
  </si>
  <si>
    <t xml:space="preserve">10.3389/frvir.2026.1833878</t>
  </si>
  <si>
    <t xml:space="preserve">A1-6</t>
  </si>
  <si>
    <t xml:space="preserve">The Model and Application of the Serious Game for Cultural Heritage Education: A Case Study of Kuliang, China</t>
  </si>
  <si>
    <t xml:space="preserve">2025, Lin, Zhou &amp; Guan</t>
  </si>
  <si>
    <t xml:space="preserve">10.1177/01678329251323449</t>
  </si>
  <si>
    <t xml:space="preserve">A1-7</t>
  </si>
  <si>
    <t xml:space="preserve">Becoming a Xia: Constructing Cultural Identity in the History of Wuxia Games in China</t>
  </si>
  <si>
    <t xml:space="preserve">2025, Cao, Zhou &amp; Feng, Games and Culture</t>
  </si>
  <si>
    <t xml:space="preserve">10.1177/15554120231208735</t>
  </si>
  <si>
    <t xml:space="preserve">A1-8</t>
  </si>
  <si>
    <t xml:space="preserve">Cultural Affordance and Reception: A Theoretical Framework for Interactive Cross-Cultural Sense-Making in Video Game Environments</t>
  </si>
  <si>
    <t xml:space="preserve">2025, Yu, Guo, Shen &amp; Chen, Games and Culture</t>
  </si>
  <si>
    <t xml:space="preserve">10.1177/15554120251336564</t>
  </si>
  <si>
    <t xml:space="preserve">A1-9</t>
  </si>
  <si>
    <t xml:space="preserve">Enhancing Young Generation's Heritage Identity Through Emotional Responses to Virtual Cultural Heritage Experience: A Design Case with Azheke Community at Hani Rice Terraces</t>
  </si>
  <si>
    <t xml:space="preserve">2025, IJHCI, 42(1)</t>
  </si>
  <si>
    <t xml:space="preserve">10.1080/10447318.2025.2505159</t>
  </si>
  <si>
    <t xml:space="preserve">A1-10</t>
  </si>
  <si>
    <t xml:space="preserve">Evaluating knowledge transfer mechanisms and outcomes of VR/AR for cultural-heritage serious games</t>
  </si>
  <si>
    <t xml:space="preserve">2025, npj Heritage Science</t>
  </si>
  <si>
    <t xml:space="preserve">10.1038/s40494-025-02247-z</t>
  </si>
  <si>
    <t xml:space="preserve">A2-1</t>
  </si>
  <si>
    <r>
      <rPr>
        <sz val="10"/>
        <color rgb="FF1A1A1A"/>
        <rFont val="微软雅黑"/>
        <family val="0"/>
        <charset val="1"/>
      </rPr>
      <t xml:space="preserve">A-2 </t>
    </r>
    <r>
      <rPr>
        <sz val="10"/>
        <color rgb="FF1A1A1A"/>
        <rFont val="WenQuanYi Zen Hei"/>
        <family val="2"/>
      </rPr>
      <t xml:space="preserve">效应量与方法基准</t>
    </r>
  </si>
  <si>
    <t xml:space="preserve">Exploring the Efficacy of Game-Based Pedagogy: A Three-Level Meta-Analysis of Game-Based Learning and Gamification</t>
  </si>
  <si>
    <t xml:space="preserve">2026, Xu &amp; Dai</t>
  </si>
  <si>
    <t xml:space="preserve">10.1177/14697874261424519</t>
  </si>
  <si>
    <t xml:space="preserve">A2-2</t>
  </si>
  <si>
    <t xml:space="preserve">Effectiveness of Augmented Reality and Virtual Reality Interventions on Learning Outcomes: A Meta-Analysis in Higher Education</t>
  </si>
  <si>
    <t xml:space="preserve">2025, TechTrends</t>
  </si>
  <si>
    <t xml:space="preserve">10.1007/s11528-025-01106-9</t>
  </si>
  <si>
    <t xml:space="preserve">A2-3</t>
  </si>
  <si>
    <t xml:space="preserve">Wouters, van Nimwegen, van Oostendorp &amp; van der Spek (2013). A meta-analysis of the cognitive and motivational effects of serious games</t>
  </si>
  <si>
    <t xml:space="preserve">Journal of Educational Psychology, 105(2)</t>
  </si>
  <si>
    <t xml:space="preserve">A2-4</t>
  </si>
  <si>
    <t xml:space="preserve">Wouters &amp; van Oostendorp (2013). A meta-analytic review of the role of instructional support in game-based learning</t>
  </si>
  <si>
    <t xml:space="preserve">Computers &amp; Education, 60(1)</t>
  </si>
  <si>
    <t xml:space="preserve">A2-5</t>
  </si>
  <si>
    <t xml:space="preserve">Effectiveness of digital educational game and game design in STEM learning: a meta-analytic review</t>
  </si>
  <si>
    <t xml:space="preserve">2023</t>
  </si>
  <si>
    <t xml:space="preserve">2023, IJ STEM Education</t>
  </si>
  <si>
    <t xml:space="preserve">10.1186/s40594-022-00344-0</t>
  </si>
  <si>
    <t xml:space="preserve">A2-6</t>
  </si>
  <si>
    <t xml:space="preserve">Effects of digital game-based STEM education on students' learning achievement: a meta-analysis</t>
  </si>
  <si>
    <t xml:space="preserve">2022</t>
  </si>
  <si>
    <t xml:space="preserve">2022, IJ STEM Education</t>
  </si>
  <si>
    <t xml:space="preserve">A2-7</t>
  </si>
  <si>
    <t xml:space="preserve">Gamification enhances student intrinsic motivation, perceptions of autonomy and relatedness, but minimal impact on competency: a meta-analysis</t>
  </si>
  <si>
    <t xml:space="preserve">2024</t>
  </si>
  <si>
    <t xml:space="preserve">2024, ETR&amp;D</t>
  </si>
  <si>
    <t xml:space="preserve">10.1007/s11423-023-10337-7</t>
  </si>
  <si>
    <t xml:space="preserve">A2-8</t>
  </si>
  <si>
    <t xml:space="preserve">Gamification design in cultural heritage education: A systematic literature review (2019–2024)</t>
  </si>
  <si>
    <r>
      <rPr>
        <sz val="10"/>
        <color rgb="FF1A1A1A"/>
        <rFont val="WenQuanYi Zen Hei"/>
        <family val="2"/>
      </rPr>
      <t xml:space="preserve">② 免费</t>
    </r>
    <r>
      <rPr>
        <sz val="10"/>
        <color rgb="FF1A1A1A"/>
        <rFont val="微软雅黑"/>
        <family val="0"/>
        <charset val="1"/>
      </rPr>
      <t xml:space="preserve">·</t>
    </r>
    <r>
      <rPr>
        <sz val="10"/>
        <color rgb="FF1A1A1A"/>
        <rFont val="WenQuanYi Zen Hei"/>
        <family val="2"/>
      </rPr>
      <t xml:space="preserve">浏览器另存</t>
    </r>
  </si>
  <si>
    <r>
      <rPr>
        <sz val="9"/>
        <color rgb="FF6B6B6B"/>
        <rFont val="WenQuanYi Zen Hei"/>
        <family val="2"/>
      </rPr>
      <t xml:space="preserve">浏览器打开链接后另存为 </t>
    </r>
    <r>
      <rPr>
        <sz val="9"/>
        <color rgb="FF6B6B6B"/>
        <rFont val="微软雅黑"/>
        <family val="0"/>
        <charset val="1"/>
      </rPr>
      <t xml:space="preserve">PDF</t>
    </r>
  </si>
  <si>
    <t xml:space="preserve">A3-1</t>
  </si>
  <si>
    <r>
      <rPr>
        <sz val="10"/>
        <color rgb="FF1A1A1A"/>
        <rFont val="微软雅黑"/>
        <family val="0"/>
        <charset val="1"/>
      </rPr>
      <t xml:space="preserve">A-3 </t>
    </r>
    <r>
      <rPr>
        <sz val="10"/>
        <color rgb="FF1A1A1A"/>
        <rFont val="WenQuanYi Zen Hei"/>
        <family val="2"/>
      </rPr>
      <t xml:space="preserve">理论与量表基座</t>
    </r>
  </si>
  <si>
    <t xml:space="preserve">Jennett, Cox, Cairns, Dhoparee, Epps, Tijs &amp; Walton (2008). Measuring and defining the experience of immersion in games</t>
  </si>
  <si>
    <r>
      <rPr>
        <sz val="10"/>
        <color rgb="FF1A1A1A"/>
        <rFont val="微软雅黑"/>
        <family val="0"/>
        <charset val="1"/>
      </rPr>
      <t xml:space="preserve">International Journal of Human-Computer Studies, 66(9), 641–661) — </t>
    </r>
    <r>
      <rPr>
        <sz val="10"/>
        <color rgb="FF1A1A1A"/>
        <rFont val="WenQuanYi Zen Hei"/>
        <family val="2"/>
      </rPr>
      <t xml:space="preserve">被引 </t>
    </r>
    <r>
      <rPr>
        <sz val="10"/>
        <color rgb="FF1A1A1A"/>
        <rFont val="微软雅黑"/>
        <family val="0"/>
        <charset val="1"/>
      </rPr>
      <t xml:space="preserve">1800+</t>
    </r>
  </si>
  <si>
    <t xml:space="preserve">A3-2</t>
  </si>
  <si>
    <t xml:space="preserve">Green &amp; Brock (2000). The role of transportation in the persuasiveness of public narratives</t>
  </si>
  <si>
    <r>
      <rPr>
        <sz val="10"/>
        <color rgb="FF1A1A1A"/>
        <rFont val="微软雅黑"/>
        <family val="0"/>
        <charset val="1"/>
      </rPr>
      <t xml:space="preserve">Journal of Personality and Social Psychology, 79(5), 701–721) — </t>
    </r>
    <r>
      <rPr>
        <sz val="10"/>
        <color rgb="FF1A1A1A"/>
        <rFont val="WenQuanYi Zen Hei"/>
        <family val="2"/>
      </rPr>
      <t xml:space="preserve">经典</t>
    </r>
  </si>
  <si>
    <t xml:space="preserve">A3-3</t>
  </si>
  <si>
    <t xml:space="preserve">van Laer, de Ruyter, Visconti &amp; Wetzels (2014). The Extended Transportation-Imagery Model: A Meta-Analysis</t>
  </si>
  <si>
    <t xml:space="preserve">Journal of Consumer Research, 40(5), 797–817</t>
  </si>
  <si>
    <t xml:space="preserve">A3-4</t>
  </si>
  <si>
    <t xml:space="preserve">Ryan, Rigby &amp; Przybylski (2006). The motivational pull of video games: A self-determination theory approach</t>
  </si>
  <si>
    <r>
      <rPr>
        <sz val="10"/>
        <color rgb="FF1A1A1A"/>
        <rFont val="微软雅黑"/>
        <family val="0"/>
        <charset val="1"/>
      </rPr>
      <t xml:space="preserve">Motivation and Emotion, 30(4)) — </t>
    </r>
    <r>
      <rPr>
        <sz val="10"/>
        <color rgb="FF1A1A1A"/>
        <rFont val="WenQuanYi Zen Hei"/>
        <family val="2"/>
      </rPr>
      <t xml:space="preserve">经典</t>
    </r>
  </si>
  <si>
    <t xml:space="preserve">10.1007/s11031-006-9051-8</t>
  </si>
  <si>
    <t xml:space="preserve">A3-5</t>
  </si>
  <si>
    <t xml:space="preserve">Przybylski, Rigby &amp; Ryan (2010). A motivational model of video game engagement</t>
  </si>
  <si>
    <t xml:space="preserve">Review of General Psychology</t>
  </si>
  <si>
    <t xml:space="preserve">A3-6</t>
  </si>
  <si>
    <t xml:space="preserve">Sweetser &amp; Wyeth (2005). GameFlow: A model for evaluating player enjoyment in games</t>
  </si>
  <si>
    <t xml:space="preserve">Computers in Entertainment, 3(3)</t>
  </si>
  <si>
    <t xml:space="preserve">10.1145/1077246.1077253</t>
  </si>
  <si>
    <t xml:space="preserve">A3-7</t>
  </si>
  <si>
    <t xml:space="preserve">Hamari, Koivisto &amp; Sarsa (2014). Does gamification work? — A literature review of empirical studies on gamification</t>
  </si>
  <si>
    <t xml:space="preserve">HICSS</t>
  </si>
  <si>
    <t xml:space="preserve">A3-8</t>
  </si>
  <si>
    <t xml:space="preserve">Koivisto &amp; Hamari (2019). The rise of motivational information systems: A review of gamification research</t>
  </si>
  <si>
    <t xml:space="preserve">International Journal of Information Management, 45, 191–210</t>
  </si>
  <si>
    <t xml:space="preserve">A3-9</t>
  </si>
  <si>
    <t xml:space="preserve">Falk &amp; Storksdieck (2005). Using the contextual model of learning to understand visitor learning from a science center exhibition</t>
  </si>
  <si>
    <t xml:space="preserve">Science Education, 89(5)</t>
  </si>
  <si>
    <t xml:space="preserve">10.1002/sce.20078</t>
  </si>
  <si>
    <t xml:space="preserve">A3-10</t>
  </si>
  <si>
    <r>
      <rPr>
        <sz val="10"/>
        <color rgb="FF1A1A1A"/>
        <rFont val="微软雅黑"/>
        <family val="0"/>
        <charset val="1"/>
      </rPr>
      <t xml:space="preserve">Falk &amp; Dierking. Learning from Museums: Visitor Experiences and the Making of Meaning</t>
    </r>
    <r>
      <rPr>
        <sz val="10"/>
        <color rgb="FF1A1A1A"/>
        <rFont val="WenQuanYi Zen Hei"/>
        <family val="2"/>
      </rPr>
      <t xml:space="preserve">（专著）</t>
    </r>
  </si>
  <si>
    <r>
      <rPr>
        <sz val="10"/>
        <color rgb="FF1A1A1A"/>
        <rFont val="WenQuanYi Zen Hei"/>
        <family val="2"/>
      </rPr>
      <t xml:space="preserve">④ 专著</t>
    </r>
    <r>
      <rPr>
        <sz val="10"/>
        <color rgb="FF1A1A1A"/>
        <rFont val="微软雅黑"/>
        <family val="0"/>
        <charset val="1"/>
      </rPr>
      <t xml:space="preserve">·</t>
    </r>
    <r>
      <rPr>
        <sz val="10"/>
        <color rgb="FF1A1A1A"/>
        <rFont val="WenQuanYi Zen Hei"/>
        <family val="2"/>
      </rPr>
      <t xml:space="preserve">借阅或购买</t>
    </r>
  </si>
  <si>
    <r>
      <rPr>
        <sz val="9"/>
        <color rgb="FF6B6B6B"/>
        <rFont val="WenQuanYi Zen Hei"/>
        <family val="2"/>
      </rPr>
      <t xml:space="preserve">图书馆借阅或购买纸质</t>
    </r>
    <r>
      <rPr>
        <sz val="9"/>
        <color rgb="FF6B6B6B"/>
        <rFont val="微软雅黑"/>
        <family val="0"/>
        <charset val="1"/>
      </rPr>
      <t xml:space="preserve">/</t>
    </r>
    <r>
      <rPr>
        <sz val="9"/>
        <color rgb="FF6B6B6B"/>
        <rFont val="WenQuanYi Zen Hei"/>
        <family val="2"/>
      </rPr>
      <t xml:space="preserve">电子书</t>
    </r>
  </si>
  <si>
    <t xml:space="preserve">A4-1</t>
  </si>
  <si>
    <r>
      <rPr>
        <sz val="10"/>
        <color rgb="FF1A1A1A"/>
        <rFont val="微软雅黑"/>
        <family val="0"/>
        <charset val="1"/>
      </rPr>
      <t xml:space="preserve">A-4 </t>
    </r>
    <r>
      <rPr>
        <sz val="10"/>
        <color rgb="FF1A1A1A"/>
        <rFont val="WenQuanYi Zen Hei"/>
        <family val="2"/>
      </rPr>
      <t xml:space="preserve">场景对照</t>
    </r>
  </si>
  <si>
    <t xml:space="preserve">Can Location-Based Augmented Reality Support Cultural-Heritage Experience in Real-World Settings? Age-Related Engagement Patterns and a Field-Based Evaluation</t>
  </si>
  <si>
    <t xml:space="preserve">2026, Informatics, 13(1)</t>
  </si>
  <si>
    <t xml:space="preserve">10.3390/informatics13010012</t>
  </si>
  <si>
    <t xml:space="preserve">A4-2</t>
  </si>
  <si>
    <t xml:space="preserve">How Do Location-Based AR Games Enhance Value Co-Creation Experiences at Cultural Heritage Sites? A Process Perspective</t>
  </si>
  <si>
    <t xml:space="preserve">2024, Applied Sciences, 14(15)</t>
  </si>
  <si>
    <t xml:space="preserve">10.1145/3700881</t>
  </si>
  <si>
    <t xml:space="preserve">A4-3</t>
  </si>
  <si>
    <t xml:space="preserve">HeritageSite AR: Design and Evaluation of a Mobile AR Exploration Game for a Chinese Heritage Site</t>
  </si>
  <si>
    <t xml:space="preserve">2024, JOCCH</t>
  </si>
  <si>
    <t xml:space="preserve">A4-4</t>
  </si>
  <si>
    <t xml:space="preserve">Design of a virtual reality serious game for experiencing the colors of Dunhuang frescoes</t>
  </si>
  <si>
    <t xml:space="preserve">2024, npj Heritage Science</t>
  </si>
  <si>
    <t xml:space="preserve">10.1038/s40494-024-01477-x</t>
  </si>
  <si>
    <t xml:space="preserve">A4-5</t>
  </si>
  <si>
    <t xml:space="preserve">Collaboration in an immersive VR Edu-Metaverse improves knowledge gain and retention of concise cultural heritage content</t>
  </si>
  <si>
    <t xml:space="preserve">2026, Virtual Reality</t>
  </si>
  <si>
    <t xml:space="preserve">10.1007/s10055-026-01436-w</t>
  </si>
  <si>
    <t xml:space="preserve">A4-6</t>
  </si>
  <si>
    <t xml:space="preserve">Metaverse and XR for cultural heritage education: applications, standards, architecture</t>
  </si>
  <si>
    <t xml:space="preserve">2025, Virtual Reality</t>
  </si>
  <si>
    <t xml:space="preserve">10.3390/heritage8100421</t>
  </si>
  <si>
    <t xml:space="preserve">A4-7</t>
  </si>
  <si>
    <t xml:space="preserve">Augmented Reality in Cultural Heritage: A Narrative Review of Design, Development and Evaluation Approaches</t>
  </si>
  <si>
    <t xml:space="preserve">2025, Heritage, 8(10)</t>
  </si>
  <si>
    <t xml:space="preserve">10.3390/educsci13010047</t>
  </si>
  <si>
    <t xml:space="preserve">A4-8</t>
  </si>
  <si>
    <t xml:space="preserve">Serious Games in Cultural Heritage: A Review of Practices and Considerations in the Design of Location-Based Games</t>
  </si>
  <si>
    <t xml:space="preserve">2023, Education Sciences, 13(1)</t>
  </si>
  <si>
    <t xml:space="preserve">10.3390/app12178476</t>
  </si>
  <si>
    <t xml:space="preserve">A4-9</t>
  </si>
  <si>
    <t xml:space="preserve">VR Games in Cultural Heritage: A Systematic Review</t>
  </si>
  <si>
    <t xml:space="preserve">2022, Applied Sciences, 12(17)</t>
  </si>
  <si>
    <t xml:space="preserve">10.1038/s40494-025-02162-3</t>
  </si>
  <si>
    <t xml:space="preserve">A4-10</t>
  </si>
  <si>
    <t xml:space="preserve">Digital preservation and development of architectural heritage from a virtual perspective: a systematic review</t>
  </si>
  <si>
    <t xml:space="preserve">A4-11</t>
  </si>
  <si>
    <t xml:space="preserve">Burgess &amp; Jones (2022). Exploring Player Understandings of Historical Accuracy and Historical Authenticity in Video Games</t>
  </si>
  <si>
    <t xml:space="preserve">Games and Culture</t>
  </si>
  <si>
    <t xml:space="preserve">10.1177/15554120211061853</t>
  </si>
  <si>
    <t xml:space="preserve">B1-1</t>
  </si>
  <si>
    <r>
      <rPr>
        <sz val="10"/>
        <color rgb="FF1A1A1A"/>
        <rFont val="微软雅黑"/>
        <family val="0"/>
        <charset val="1"/>
      </rPr>
      <t xml:space="preserve">B AI</t>
    </r>
    <r>
      <rPr>
        <sz val="10"/>
        <color rgb="FF1A1A1A"/>
        <rFont val="WenQuanYi Zen Hei"/>
        <family val="2"/>
      </rPr>
      <t xml:space="preserve">文化角色与智能化传播</t>
    </r>
  </si>
  <si>
    <r>
      <rPr>
        <sz val="10"/>
        <color rgb="FF1A1A1A"/>
        <rFont val="微软雅黑"/>
        <family val="0"/>
        <charset val="1"/>
      </rPr>
      <t xml:space="preserve">B-1 LLM NPC </t>
    </r>
    <r>
      <rPr>
        <sz val="10"/>
        <color rgb="FF1A1A1A"/>
        <rFont val="WenQuanYi Zen Hei"/>
        <family val="2"/>
      </rPr>
      <t xml:space="preserve">与 </t>
    </r>
    <r>
      <rPr>
        <sz val="10"/>
        <color rgb="FF1A1A1A"/>
        <rFont val="微软雅黑"/>
        <family val="0"/>
        <charset val="1"/>
      </rPr>
      <t xml:space="preserve">AI </t>
    </r>
    <r>
      <rPr>
        <sz val="10"/>
        <color rgb="FF1A1A1A"/>
        <rFont val="WenQuanYi Zen Hei"/>
        <family val="2"/>
      </rPr>
      <t xml:space="preserve">角色</t>
    </r>
  </si>
  <si>
    <t xml:space="preserve">The Double-Edged Sword of Open-Ended Interaction: How LLM-Driven NPCs Affect Players' Cognitive Load and Gaming Experience</t>
  </si>
  <si>
    <t xml:space="preserve">2026, arXiv:2604.10107</t>
  </si>
  <si>
    <t xml:space="preserve">B1-2</t>
  </si>
  <si>
    <t xml:space="preserve">Empower My Digital Neighbors: How LLM-Driven NPCs Shape Player Interaction in Single-Player and Multiplayer Contexts</t>
  </si>
  <si>
    <t xml:space="preserve">2026, CHI EA</t>
  </si>
  <si>
    <t xml:space="preserve">10.1145/3772363.3798665</t>
  </si>
  <si>
    <t xml:space="preserve">B1-3</t>
  </si>
  <si>
    <t xml:space="preserve">Park, O'Brien, Cai, Morris, Liang &amp; Bernstein (2023). Generative Agents: Interactive Simulacra of Human Behavior</t>
  </si>
  <si>
    <r>
      <rPr>
        <sz val="10"/>
        <color rgb="FF1A1A1A"/>
        <rFont val="微软雅黑"/>
        <family val="0"/>
        <charset val="1"/>
      </rPr>
      <t xml:space="preserve">UIST '23) — </t>
    </r>
    <r>
      <rPr>
        <sz val="10"/>
        <color rgb="FF1A1A1A"/>
        <rFont val="WenQuanYi Zen Hei"/>
        <family val="2"/>
      </rPr>
      <t xml:space="preserve">经典</t>
    </r>
  </si>
  <si>
    <t xml:space="preserve">10.1145/3586183.3606763</t>
  </si>
  <si>
    <t xml:space="preserve">B1-4</t>
  </si>
  <si>
    <t xml:space="preserve">Evaluating the Role-Playing Capabilities of LLMs in Text-based Games</t>
  </si>
  <si>
    <t xml:space="preserve">2025, NAACL</t>
  </si>
  <si>
    <t xml:space="preserve">B1-5</t>
  </si>
  <si>
    <t xml:space="preserve">Character-LLM: A Trainable Agent for Role-Playing</t>
  </si>
  <si>
    <t xml:space="preserve">arXiv:2310.10158</t>
  </si>
  <si>
    <t xml:space="preserve">B1-6</t>
  </si>
  <si>
    <t xml:space="preserve">Role-Playing Agents Driven by LLMs: Current Status, Challenges, and Future Trends</t>
  </si>
  <si>
    <t xml:space="preserve">2026, arXiv:2601.10122</t>
  </si>
  <si>
    <t xml:space="preserve">B1-7</t>
  </si>
  <si>
    <t xml:space="preserve">A Quest for Information: Enhancing Game-Based Learning with LLM-Driven NPCs</t>
  </si>
  <si>
    <t xml:space="preserve">2025, CESCG</t>
  </si>
  <si>
    <t xml:space="preserve">B1-8</t>
  </si>
  <si>
    <t xml:space="preserve">Leveraging Large Language Models for Active Merchant Non-player Characters</t>
  </si>
  <si>
    <t xml:space="preserve">arXiv:2412.11189</t>
  </si>
  <si>
    <t xml:space="preserve">B2-1</t>
  </si>
  <si>
    <r>
      <rPr>
        <sz val="10"/>
        <color rgb="FF1A1A1A"/>
        <rFont val="微软雅黑"/>
        <family val="0"/>
        <charset val="1"/>
      </rPr>
      <t xml:space="preserve">B-2 AI</t>
    </r>
    <r>
      <rPr>
        <sz val="10"/>
        <color rgb="FF1A1A1A"/>
        <rFont val="WenQuanYi Zen Hei"/>
        <family val="2"/>
      </rPr>
      <t xml:space="preserve">文化讲解、</t>
    </r>
    <r>
      <rPr>
        <sz val="10"/>
        <color rgb="FF1A1A1A"/>
        <rFont val="微软雅黑"/>
        <family val="0"/>
        <charset val="1"/>
      </rPr>
      <t xml:space="preserve">RAG </t>
    </r>
    <r>
      <rPr>
        <sz val="10"/>
        <color rgb="FF1A1A1A"/>
        <rFont val="WenQuanYi Zen Hei"/>
        <family val="2"/>
      </rPr>
      <t xml:space="preserve">与幻觉</t>
    </r>
  </si>
  <si>
    <t xml:space="preserve">Large-Scale Corpus Construction and Retrieval-Augmented Generation for Ancient Chinese Poetry: New Method and Data Insights</t>
  </si>
  <si>
    <t xml:space="preserve">2025, NAACL Findings</t>
  </si>
  <si>
    <t xml:space="preserve">B2-2</t>
  </si>
  <si>
    <t xml:space="preserve">LLM-Driven Completeness and Consistency Evaluation for Cultural Heritage Data Augmentation in Cross-Modal Retrieval</t>
  </si>
  <si>
    <t xml:space="preserve">2025, EMNLP Main</t>
  </si>
  <si>
    <t xml:space="preserve">B2-3</t>
  </si>
  <si>
    <t xml:space="preserve">An Evaluation of LLM-based Chatbots for Enhancing the Visitor's User Experience at Cultural Exhibits</t>
  </si>
  <si>
    <t xml:space="preserve">2025, JOCCH</t>
  </si>
  <si>
    <t xml:space="preserve">10.1145/3775062</t>
  </si>
  <si>
    <t xml:space="preserve">B2-4</t>
  </si>
  <si>
    <t xml:space="preserve">MuseRAG++: a deep retrieval-augmented generation framework for semantic interaction and multi-modal reasoning in virtual museums</t>
  </si>
  <si>
    <t xml:space="preserve">B2-5</t>
  </si>
  <si>
    <t xml:space="preserve">Multimodal RAG for cultural heritage: a technical exploration based on Jino traditional knowledge</t>
  </si>
  <si>
    <t xml:space="preserve">2026, Digital Scholarship in the Humanities, 41(2)</t>
  </si>
  <si>
    <t xml:space="preserve">B2-6</t>
  </si>
  <si>
    <t xml:space="preserve">Visual information identification and Q&amp;A of intangible cultural heritage inheritors using enhanced Graph-Retrieval framework</t>
  </si>
  <si>
    <t xml:space="preserve">2026, npj Heritage Science</t>
  </si>
  <si>
    <t xml:space="preserve">10.1038/s40494-026-02384-z</t>
  </si>
  <si>
    <t xml:space="preserve">B2-7</t>
  </si>
  <si>
    <t xml:space="preserve">Evaluating Cultural Knowledge Processing in Large Language Models: A Cognitive Benchmarking Framework Integrating RAG</t>
  </si>
  <si>
    <t xml:space="preserve">2025, arXiv:2511.01649</t>
  </si>
  <si>
    <t xml:space="preserve">B2-8</t>
  </si>
  <si>
    <t xml:space="preserve">Exploring LLM-Powered Role and Action-Switching Pedagogical Agents for History Education in Virtual Reality</t>
  </si>
  <si>
    <t xml:space="preserve">2025, CHI</t>
  </si>
  <si>
    <t xml:space="preserve">10.1145/3706598.3713109</t>
  </si>
  <si>
    <t xml:space="preserve">B2-9</t>
  </si>
  <si>
    <t xml:space="preserve">"Ask Sir Oliver Ingham": LLM-based Social Simulations for History Education</t>
  </si>
  <si>
    <t xml:space="preserve">2025, CHI EA</t>
  </si>
  <si>
    <t xml:space="preserve">10.1145/3706599.3719728</t>
  </si>
  <si>
    <t xml:space="preserve">B3-1</t>
  </si>
  <si>
    <r>
      <rPr>
        <sz val="10"/>
        <color rgb="FF1A1A1A"/>
        <rFont val="微软雅黑"/>
        <family val="0"/>
        <charset val="1"/>
      </rPr>
      <t xml:space="preserve">B-3 </t>
    </r>
    <r>
      <rPr>
        <sz val="10"/>
        <color rgb="FF1A1A1A"/>
        <rFont val="WenQuanYi Zen Hei"/>
        <family val="2"/>
      </rPr>
      <t xml:space="preserve">角色依恋、拟社会互动与人机关系</t>
    </r>
  </si>
  <si>
    <t xml:space="preserve">Lewis, Weber &amp; Bowman (2008). "They may be pixels, but they're MY pixels": Developing a metric of character attachment in role-playing video games</t>
  </si>
  <si>
    <r>
      <rPr>
        <sz val="10"/>
        <color rgb="FF1A1A1A"/>
        <rFont val="微软雅黑"/>
        <family val="0"/>
        <charset val="1"/>
      </rPr>
      <t xml:space="preserve">CyberPsychology &amp; Behavior, 11(4)) — </t>
    </r>
    <r>
      <rPr>
        <sz val="10"/>
        <color rgb="FF1A1A1A"/>
        <rFont val="WenQuanYi Zen Hei"/>
        <family val="2"/>
      </rPr>
      <t xml:space="preserve">经典</t>
    </r>
  </si>
  <si>
    <t xml:space="preserve">10.1089/cpb.2007.0137</t>
  </si>
  <si>
    <t xml:space="preserve">B3-2</t>
  </si>
  <si>
    <t xml:space="preserve">Hefner, Klimmt &amp; Vorderer (2007). Identification with the player character as determinant of video game enjoyment</t>
  </si>
  <si>
    <t xml:space="preserve">ICEC</t>
  </si>
  <si>
    <t xml:space="preserve">10.1007/978-3-540-74873-1_6</t>
  </si>
  <si>
    <t xml:space="preserve">B3-3</t>
  </si>
  <si>
    <t xml:space="preserve">Klimmt, Hefner &amp; Vorderer (2009). The video game experience as "true" identification: A theory of enjoyable alterations of players' self-perception</t>
  </si>
  <si>
    <t xml:space="preserve">Communication Theory, 19(4)</t>
  </si>
  <si>
    <t xml:space="preserve">B3-4</t>
  </si>
  <si>
    <t xml:space="preserve">Klimmt, Hefner, Vorderer, Roth &amp; Blake. Identification with video game characters as automatic shift of self-perceptions</t>
  </si>
  <si>
    <t xml:space="preserve">Media Psychology</t>
  </si>
  <si>
    <t xml:space="preserve">B3-5</t>
  </si>
  <si>
    <t xml:space="preserve">Nass &amp; Moon (2000). Machines and mindlessness: Social responses to computers</t>
  </si>
  <si>
    <r>
      <rPr>
        <sz val="10"/>
        <color rgb="FF1A1A1A"/>
        <rFont val="微软雅黑"/>
        <family val="0"/>
        <charset val="1"/>
      </rPr>
      <t xml:space="preserve">Journal of Social Issues, 56(1)) — CASA </t>
    </r>
    <r>
      <rPr>
        <sz val="10"/>
        <color rgb="FF1A1A1A"/>
        <rFont val="WenQuanYi Zen Hei"/>
        <family val="2"/>
      </rPr>
      <t xml:space="preserve">范式奠基作</t>
    </r>
  </si>
  <si>
    <t xml:space="preserve">B3-6</t>
  </si>
  <si>
    <t xml:space="preserve">Lee (2010). What triggers social responses to flattering computers? Experimental tests of anthropomorphism and mindlessness explanations</t>
  </si>
  <si>
    <t xml:space="preserve">Communication Research</t>
  </si>
  <si>
    <t xml:space="preserve">10.1177/0093650209356389</t>
  </si>
  <si>
    <t xml:space="preserve">B3-7</t>
  </si>
  <si>
    <t xml:space="preserve">Horton &amp; Wohl (1956). Mass communication and para-social interaction</t>
  </si>
  <si>
    <r>
      <rPr>
        <sz val="10"/>
        <color rgb="FF1A1A1A"/>
        <rFont val="微软雅黑"/>
        <family val="0"/>
        <charset val="1"/>
      </rPr>
      <t xml:space="preserve">Psychiatry, 19(3)) — </t>
    </r>
    <r>
      <rPr>
        <sz val="10"/>
        <color rgb="FF1A1A1A"/>
        <rFont val="WenQuanYi Zen Hei"/>
        <family val="2"/>
      </rPr>
      <t xml:space="preserve">拟社会互动奠基作</t>
    </r>
  </si>
  <si>
    <t xml:space="preserve">B3-8</t>
  </si>
  <si>
    <t xml:space="preserve">Parasocial relationships with artificial intelligence (AI): A systematic review of benefits and risks</t>
  </si>
  <si>
    <t xml:space="preserve">2026, ScienceDirect</t>
  </si>
  <si>
    <t xml:space="preserve">B3-9</t>
  </si>
  <si>
    <t xml:space="preserve">How AI Companionship Develops: Evidence from a Longitudinal Study</t>
  </si>
  <si>
    <t xml:space="preserve">2025, arXiv:2510.10079</t>
  </si>
  <si>
    <t xml:space="preserve">B3-10</t>
  </si>
  <si>
    <t xml:space="preserve">The Adaptation Paradox: Agency vs. Mimicry in Companion Chatbots</t>
  </si>
  <si>
    <t xml:space="preserve">2025, arXiv:2509.12525</t>
  </si>
  <si>
    <t xml:space="preserve">B3-11</t>
  </si>
  <si>
    <t xml:space="preserve">从拟社会互动到依恋：人机情感关系的演化</t>
  </si>
  <si>
    <r>
      <rPr>
        <sz val="10"/>
        <color rgb="FF1A1A1A"/>
        <rFont val="微软雅黑"/>
        <family val="0"/>
        <charset val="1"/>
      </rPr>
      <t xml:space="preserve">2025, </t>
    </r>
    <r>
      <rPr>
        <sz val="10"/>
        <color rgb="FF1A1A1A"/>
        <rFont val="WenQuanYi Zen Hei"/>
        <family val="2"/>
      </rPr>
      <t xml:space="preserve">《心理科学》</t>
    </r>
  </si>
  <si>
    <t xml:space="preserve">B3-12</t>
  </si>
  <si>
    <t xml:space="preserve">Virtual presence, real connections: Exploring the role of parasocial relationships in virtual idol fan community participation</t>
  </si>
  <si>
    <t xml:space="preserve">10.1177/20594364231222976</t>
  </si>
  <si>
    <t xml:space="preserve">B3-13</t>
  </si>
  <si>
    <t xml:space="preserve">The creative behavior of virtual idol fans: a psychological perspective based on MOA theory</t>
  </si>
  <si>
    <t xml:space="preserve">B3-14</t>
  </si>
  <si>
    <t xml:space="preserve">"I Harbour Strong Feelings for Tali Despite Her Being a Fictional Character": Investigating Videogame Players' Emotional Attachments to Non-Player Characters</t>
  </si>
  <si>
    <t xml:space="preserve">Burgess &amp; Jones, Game Studies</t>
  </si>
  <si>
    <t xml:space="preserve">B4-1</t>
  </si>
  <si>
    <r>
      <rPr>
        <sz val="10"/>
        <color rgb="FF1A1A1A"/>
        <rFont val="微软雅黑"/>
        <family val="0"/>
        <charset val="1"/>
      </rPr>
      <t xml:space="preserve">B-4 </t>
    </r>
    <r>
      <rPr>
        <sz val="10"/>
        <color rgb="FF1A1A1A"/>
        <rFont val="WenQuanYi Zen Hei"/>
        <family val="2"/>
      </rPr>
      <t xml:space="preserve">数字人、文化真实性与 </t>
    </r>
    <r>
      <rPr>
        <sz val="10"/>
        <color rgb="FF1A1A1A"/>
        <rFont val="微软雅黑"/>
        <family val="0"/>
        <charset val="1"/>
      </rPr>
      <t xml:space="preserve">AI </t>
    </r>
    <r>
      <rPr>
        <sz val="10"/>
        <color rgb="FF1A1A1A"/>
        <rFont val="WenQuanYi Zen Hei"/>
        <family val="2"/>
      </rPr>
      <t xml:space="preserve">合规</t>
    </r>
  </si>
  <si>
    <t xml:space="preserve">The impact of cultural tourism digital humans in China on tourists' travel intentions</t>
  </si>
  <si>
    <t xml:space="preserve">2025, Current Issues in Tourism</t>
  </si>
  <si>
    <t xml:space="preserve">10.1080/13683500.2025.2555501</t>
  </si>
  <si>
    <t xml:space="preserve">B4-2</t>
  </si>
  <si>
    <t xml:space="preserve">The impact of hyperrealistic virtual humans on cultural heritage dissemination</t>
  </si>
  <si>
    <t xml:space="preserve">10.1038/s40494-025-02098-8</t>
  </si>
  <si>
    <t xml:space="preserve">B4-3</t>
  </si>
  <si>
    <t xml:space="preserve">New "Mediators" in museum settings: AI-generated virtual digital humans' mediality on visitors' continuous participation intention in museum holographic cabins</t>
  </si>
  <si>
    <t xml:space="preserve">10.1007/s10055-026-01447-7</t>
  </si>
  <si>
    <t xml:space="preserve">B4-4</t>
  </si>
  <si>
    <t xml:space="preserve">When Intangible Cultural Heritage Meets AI—Can AI with Anthropomorphism Elements Attract Tourists to Visit Cultural Heritage Sites?</t>
  </si>
  <si>
    <t xml:space="preserve">2026, Sustainability, 18(8)</t>
  </si>
  <si>
    <t xml:space="preserve">10.3390/su18083977</t>
  </si>
  <si>
    <t xml:space="preserve">B4-5</t>
  </si>
  <si>
    <t xml:space="preserve">The Impact of AI Guide Language Strategies on Museum Visitor Experience: The Mediating Role of Psychological Distance in the Arousal–Topic Fit Effect</t>
  </si>
  <si>
    <t xml:space="preserve">B4-6</t>
  </si>
  <si>
    <t xml:space="preserve">How AI-Generated Content Shapes User Trust: The Roles of Cognitive Processing, Perceived Risk, and Transparency Labels</t>
  </si>
  <si>
    <t xml:space="preserve">2026, Behavioral Sciences, 16(6)</t>
  </si>
  <si>
    <t xml:space="preserve">10.3390/bs16060957</t>
  </si>
  <si>
    <t xml:space="preserve">B4-7</t>
  </si>
  <si>
    <t xml:space="preserve">Li, Yang &amp; Yu (2025). Nudging Perceived Credibility: The Impact of AIGC Labeling on User Distinction of AI-Generated Content</t>
  </si>
  <si>
    <t xml:space="preserve">10.1177/27523543251317572</t>
  </si>
  <si>
    <t xml:space="preserve">B4-8</t>
  </si>
  <si>
    <t xml:space="preserve">AI labeling reduces the perceived accuracy of online content but has limited broader effects</t>
  </si>
  <si>
    <t xml:space="preserve">2025, arXiv:2506.16202</t>
  </si>
  <si>
    <t xml:space="preserve">10.1145/3706598.3713171</t>
  </si>
  <si>
    <t xml:space="preserve">B4-9</t>
  </si>
  <si>
    <t xml:space="preserve">Labeling Synthetic Content: User Perceptions of Label Designs for AI-Generated Content on Social Media</t>
  </si>
  <si>
    <t xml:space="preserve">B4-10</t>
  </si>
  <si>
    <t xml:space="preserve">Visible sources and invisible risks: exploring the impact of AI disclosure on perceived credibility of AI-generated content</t>
  </si>
  <si>
    <t xml:space="preserve">2026, JCOM</t>
  </si>
  <si>
    <t xml:space="preserve">B4-11</t>
  </si>
  <si>
    <t xml:space="preserve">Cultural bias and cultural alignment of large language models</t>
  </si>
  <si>
    <t xml:space="preserve">2024, PNAS Nexus, 3(9)</t>
  </si>
  <si>
    <t xml:space="preserve">10.1093/pnasnexus/pgae346</t>
  </si>
  <si>
    <t xml:space="preserve">B4-12</t>
  </si>
  <si>
    <t xml:space="preserve">Investigating Cultural Alignment of Large Language Models</t>
  </si>
  <si>
    <t xml:space="preserve">2024, arXiv:2402.13231</t>
  </si>
  <si>
    <t xml:space="preserve">B4-13</t>
  </si>
  <si>
    <t xml:space="preserve">Fluent but Foreign: Even Regional LLMs Lack Cultural Alignment</t>
  </si>
  <si>
    <t xml:space="preserve">2025, arXiv:2505.21548</t>
  </si>
  <si>
    <t xml:space="preserve">B4-14</t>
  </si>
  <si>
    <t xml:space="preserve">From Word to World: Evaluate and Mitigate Culture Bias in LLMs via Word Association Test</t>
  </si>
  <si>
    <t xml:space="preserve">2025, arXiv:2505.18562</t>
  </si>
  <si>
    <t xml:space="preserve">C-1</t>
  </si>
  <si>
    <r>
      <rPr>
        <sz val="10"/>
        <color rgb="FF1A1A1A"/>
        <rFont val="微软雅黑"/>
        <family val="0"/>
        <charset val="1"/>
      </rPr>
      <t xml:space="preserve">C </t>
    </r>
    <r>
      <rPr>
        <sz val="10"/>
        <color rgb="FF1A1A1A"/>
        <rFont val="WenQuanYi Zen Hei"/>
        <family val="2"/>
      </rPr>
      <t xml:space="preserve">跨媒介文化</t>
    </r>
    <r>
      <rPr>
        <sz val="10"/>
        <color rgb="FF1A1A1A"/>
        <rFont val="微软雅黑"/>
        <family val="0"/>
        <charset val="1"/>
      </rPr>
      <t xml:space="preserve">IP</t>
    </r>
    <r>
      <rPr>
        <sz val="10"/>
        <color rgb="FF1A1A1A"/>
        <rFont val="WenQuanYi Zen Hei"/>
        <family val="2"/>
      </rPr>
      <t xml:space="preserve">与虚实外溢</t>
    </r>
  </si>
  <si>
    <t xml:space="preserve">How cultural identity in "Black Myth: Wukong" drives tourism intentions</t>
  </si>
  <si>
    <t xml:space="preserve">2026, Elsevier</t>
  </si>
  <si>
    <t xml:space="preserve">C-2</t>
  </si>
  <si>
    <t xml:space="preserve">How Digital Mythological Narratives in Video Games Enhance Audiences' Destination Perceptions and Travel Intentions: Evidence from YouTube Comments on Black Myth: Wukong</t>
  </si>
  <si>
    <t xml:space="preserve">2026, Sustainability, 18(1)</t>
  </si>
  <si>
    <t xml:space="preserve">10.3390/su18010160</t>
  </si>
  <si>
    <t xml:space="preserve">C-3</t>
  </si>
  <si>
    <t xml:space="preserve">The tourism impact and mechanism of digital games on associated real-world locations: A case study of Black Myth: Wukong</t>
  </si>
  <si>
    <r>
      <rPr>
        <sz val="10"/>
        <color rgb="FF1A1A1A"/>
        <rFont val="微软雅黑"/>
        <family val="0"/>
        <charset val="1"/>
      </rPr>
      <t xml:space="preserve">2026, </t>
    </r>
    <r>
      <rPr>
        <sz val="10"/>
        <color rgb="FF1A1A1A"/>
        <rFont val="WenQuanYi Zen Hei"/>
        <family val="2"/>
      </rPr>
      <t xml:space="preserve">《自然资源学报》</t>
    </r>
  </si>
  <si>
    <t xml:space="preserve">10.31497/zrzyxb.20260613</t>
  </si>
  <si>
    <t xml:space="preserve">C-4</t>
  </si>
  <si>
    <t xml:space="preserve">The impact of video game experiences on destination image and visit intention: exploring the moderating role of character attachment</t>
  </si>
  <si>
    <t xml:space="preserve">2025, Journal of Hospitality and Tourism Technology</t>
  </si>
  <si>
    <t xml:space="preserve">10.1108/JHTT-04-2025-0342</t>
  </si>
  <si>
    <t xml:space="preserve">C-5</t>
  </si>
  <si>
    <t xml:space="preserve">From pixels to places: how video games influence real-world travel to natural and cultural heritage sites</t>
  </si>
  <si>
    <t xml:space="preserve">2026, Humanities and Social Sciences Communications</t>
  </si>
  <si>
    <t xml:space="preserve">10.1038/s41599-026-07299-5</t>
  </si>
  <si>
    <t xml:space="preserve">C-6</t>
  </si>
  <si>
    <t xml:space="preserve">Video game-inspired tourism: A synergistic framework</t>
  </si>
  <si>
    <t xml:space="preserve">2025, Tourism Management</t>
  </si>
  <si>
    <t xml:space="preserve">C-7</t>
  </si>
  <si>
    <t xml:space="preserve">From Virtual Worlds to Real Places: A Journey Through Video Game Play, Flow, and Place Attachment</t>
  </si>
  <si>
    <t xml:space="preserve">2026, Tourism and Hospitality, 7(4)</t>
  </si>
  <si>
    <t xml:space="preserve">10.3390/tourhosp7040099</t>
  </si>
  <si>
    <t xml:space="preserve">C-8</t>
  </si>
  <si>
    <t xml:space="preserve">Trusting the Virtual, Traveling the Real: How Destination Trust in Video Games Shapes Real-World Travel Willingness Through Player Type Differences</t>
  </si>
  <si>
    <t xml:space="preserve">2025, Administrative Sciences, 15(12)</t>
  </si>
  <si>
    <t xml:space="preserve">10.3390/admsci15120470</t>
  </si>
  <si>
    <t xml:space="preserve">C-9</t>
  </si>
  <si>
    <t xml:space="preserve">A three-dimensional study on the international communication of Black Myth: Wukong</t>
  </si>
  <si>
    <t xml:space="preserve">2025, International Communication of Chinese Culture</t>
  </si>
  <si>
    <t xml:space="preserve">10.1007/978-3-032-12764-8_14</t>
  </si>
  <si>
    <t xml:space="preserve">C-10</t>
  </si>
  <si>
    <t xml:space="preserve">Gaming as a Cultural Bridge: Black Myth: Wukong and Its Effect on Perception Towards China</t>
  </si>
  <si>
    <t xml:space="preserve">2025, Springer</t>
  </si>
  <si>
    <t xml:space="preserve">C-11</t>
  </si>
  <si>
    <t xml:space="preserve">Williams &amp; Vaske (2003). The measurement of place attachment: Validity and generalizability of a psychometric approach</t>
  </si>
  <si>
    <r>
      <rPr>
        <sz val="10"/>
        <color rgb="FF1A1A1A"/>
        <rFont val="微软雅黑"/>
        <family val="0"/>
        <charset val="1"/>
      </rPr>
      <t xml:space="preserve">Forest Science, 49(6), 830–840) — </t>
    </r>
    <r>
      <rPr>
        <sz val="10"/>
        <color rgb="FF1A1A1A"/>
        <rFont val="WenQuanYi Zen Hei"/>
        <family val="2"/>
      </rPr>
      <t xml:space="preserve">经典</t>
    </r>
  </si>
  <si>
    <t xml:space="preserve">C-12</t>
  </si>
  <si>
    <t xml:space="preserve">Thomson, MacInnis &amp; Park (2005). The ties that bind: Measuring the strength of consumers' emotional attachments to brands</t>
  </si>
  <si>
    <r>
      <rPr>
        <sz val="10"/>
        <color rgb="FF1A1A1A"/>
        <rFont val="微软雅黑"/>
        <family val="0"/>
        <charset val="1"/>
      </rPr>
      <t xml:space="preserve">Journal of Consumer Psychology, 15(1), 77–91) — </t>
    </r>
    <r>
      <rPr>
        <sz val="10"/>
        <color rgb="FF1A1A1A"/>
        <rFont val="WenQuanYi Zen Hei"/>
        <family val="2"/>
      </rPr>
      <t xml:space="preserve">经典</t>
    </r>
  </si>
  <si>
    <t xml:space="preserve">10.1207/s15327663jcp1501_10</t>
  </si>
  <si>
    <t xml:space="preserve">C-13</t>
  </si>
  <si>
    <t xml:space="preserve">Park, MacInnis, Priester, Eisingerich &amp; Iacobucci (2010). Brand attachment and brand attitude strength: Conceptual and empirical differentiation of two critical brand equity drivers</t>
  </si>
  <si>
    <r>
      <rPr>
        <sz val="10"/>
        <color rgb="FF1A1A1A"/>
        <rFont val="微软雅黑"/>
        <family val="0"/>
        <charset val="1"/>
      </rPr>
      <t xml:space="preserve">Journal of Marketing, 74(6)) — </t>
    </r>
    <r>
      <rPr>
        <sz val="10"/>
        <color rgb="FF1A1A1A"/>
        <rFont val="WenQuanYi Zen Hei"/>
        <family val="2"/>
      </rPr>
      <t xml:space="preserve">经典</t>
    </r>
  </si>
  <si>
    <t xml:space="preserve">10.1509/jmkg.74.6.1</t>
  </si>
  <si>
    <t xml:space="preserve">C-14</t>
  </si>
  <si>
    <r>
      <rPr>
        <sz val="10"/>
        <color rgb="FF1A1A1A"/>
        <rFont val="微软雅黑"/>
        <family val="0"/>
        <charset val="1"/>
      </rPr>
      <t xml:space="preserve">Jenkins, H. (2006). Convergence Culture: Where Old and New Media Collide</t>
    </r>
    <r>
      <rPr>
        <sz val="10"/>
        <color rgb="FF1A1A1A"/>
        <rFont val="WenQuanYi Zen Hei"/>
        <family val="2"/>
      </rPr>
      <t xml:space="preserve">（专著）</t>
    </r>
  </si>
  <si>
    <t xml:space="preserve">— 跨媒介叙事奠基作</t>
  </si>
  <si>
    <t xml:space="preserve">C-15</t>
  </si>
  <si>
    <t xml:space="preserve">Transmedia storytelling: expanding formatted contents in global</t>
  </si>
  <si>
    <t xml:space="preserve">2025, Frontiers in Communication</t>
  </si>
  <si>
    <t xml:space="preserve">10.3389/fcomm.2025.1692175</t>
  </si>
  <si>
    <t xml:space="preserve">D-1</t>
  </si>
  <si>
    <r>
      <rPr>
        <sz val="10"/>
        <color rgb="FF1A1A1A"/>
        <rFont val="微软雅黑"/>
        <family val="0"/>
        <charset val="1"/>
      </rPr>
      <t xml:space="preserve">D </t>
    </r>
    <r>
      <rPr>
        <sz val="10"/>
        <color rgb="FF1A1A1A"/>
        <rFont val="WenQuanYi Zen Hei"/>
        <family val="2"/>
      </rPr>
      <t xml:space="preserve">武汉—长江本地与政策</t>
    </r>
  </si>
  <si>
    <t xml:space="preserve">《长江国家文化公园建设保护规划》答记者问</t>
  </si>
  <si>
    <r>
      <rPr>
        <sz val="10"/>
        <color rgb="FF1A1A1A"/>
        <rFont val="WenQuanYi Zen Hei"/>
        <family val="2"/>
      </rPr>
      <t xml:space="preserve">（文化和旅游部，</t>
    </r>
    <r>
      <rPr>
        <sz val="10"/>
        <color rgb="FF1A1A1A"/>
        <rFont val="微软雅黑"/>
        <family val="0"/>
        <charset val="1"/>
      </rPr>
      <t xml:space="preserve">2025-01</t>
    </r>
    <r>
      <rPr>
        <sz val="10"/>
        <color rgb="FF1A1A1A"/>
        <rFont val="WenQuanYi Zen Hei"/>
        <family val="2"/>
      </rPr>
      <t xml:space="preserve">）</t>
    </r>
  </si>
  <si>
    <t xml:space="preserve">D-2</t>
  </si>
  <si>
    <t xml:space="preserve">长江文化蓝皮书解读：文艺创作、学术研究和传播领域新趋势</t>
  </si>
  <si>
    <r>
      <rPr>
        <sz val="10"/>
        <color rgb="FF1A1A1A"/>
        <rFont val="WenQuanYi Zen Hei"/>
        <family val="2"/>
      </rPr>
      <t xml:space="preserve">（</t>
    </r>
    <r>
      <rPr>
        <sz val="10"/>
        <color rgb="FF1A1A1A"/>
        <rFont val="微软雅黑"/>
        <family val="0"/>
        <charset val="1"/>
      </rPr>
      <t xml:space="preserve">2025</t>
    </r>
    <r>
      <rPr>
        <sz val="10"/>
        <color rgb="FF1A1A1A"/>
        <rFont val="WenQuanYi Zen Hei"/>
        <family val="2"/>
      </rPr>
      <t xml:space="preserve">）</t>
    </r>
  </si>
  <si>
    <t xml:space="preserve">D-3</t>
  </si>
  <si>
    <r>
      <rPr>
        <sz val="10"/>
        <color rgb="FF1A1A1A"/>
        <rFont val="WenQuanYi Zen Hei"/>
        <family val="2"/>
      </rPr>
      <t xml:space="preserve">湖北省图书馆</t>
    </r>
    <r>
      <rPr>
        <sz val="10"/>
        <color rgb="FF1A1A1A"/>
        <rFont val="微软雅黑"/>
        <family val="0"/>
        <charset val="1"/>
      </rPr>
      <t xml:space="preserve">·</t>
    </r>
    <r>
      <rPr>
        <sz val="10"/>
        <color rgb="FF1A1A1A"/>
        <rFont val="WenQuanYi Zen Hei"/>
        <family val="2"/>
      </rPr>
      <t xml:space="preserve">长江国家文化公园建设专题文献信息参考</t>
    </r>
  </si>
  <si>
    <r>
      <rPr>
        <sz val="10"/>
        <color rgb="FF1A1A1A"/>
        <rFont val="WenQuanYi Zen Hei"/>
        <family val="2"/>
      </rPr>
      <t xml:space="preserve">（</t>
    </r>
    <r>
      <rPr>
        <sz val="10"/>
        <color rgb="FF1A1A1A"/>
        <rFont val="微软雅黑"/>
        <family val="0"/>
        <charset val="1"/>
      </rPr>
      <t xml:space="preserve">2024-01</t>
    </r>
    <r>
      <rPr>
        <sz val="10"/>
        <color rgb="FF1A1A1A"/>
        <rFont val="WenQuanYi Zen Hei"/>
        <family val="2"/>
      </rPr>
      <t xml:space="preserve">）</t>
    </r>
  </si>
  <si>
    <t xml:space="preserve">D-4</t>
  </si>
  <si>
    <t xml:space="preserve">鄂苏皖赣湘云贵七省党报联动：把长江文化保护好、传承好、弘扬好</t>
  </si>
  <si>
    <t xml:space="preserve">D-5</t>
  </si>
  <si>
    <t xml:space="preserve">数字文化战略视域下文化遗产数字化传承：机理、挑战与路径</t>
  </si>
  <si>
    <r>
      <rPr>
        <sz val="10"/>
        <color rgb="FF1A1A1A"/>
        <rFont val="WenQuanYi Zen Hei"/>
        <family val="2"/>
      </rPr>
      <t xml:space="preserve">（</t>
    </r>
    <r>
      <rPr>
        <sz val="10"/>
        <color rgb="FF1A1A1A"/>
        <rFont val="微软雅黑"/>
        <family val="0"/>
        <charset val="1"/>
      </rPr>
      <t xml:space="preserve">2024</t>
    </r>
    <r>
      <rPr>
        <sz val="10"/>
        <color rgb="FF1A1A1A"/>
        <rFont val="WenQuanYi Zen Hei"/>
        <family val="2"/>
      </rPr>
      <t xml:space="preserve">，《大学图书馆学报》）</t>
    </r>
  </si>
  <si>
    <t xml:space="preserve">D-6</t>
  </si>
  <si>
    <t xml:space="preserve">数字博物馆游戏化传播路径探索</t>
  </si>
  <si>
    <r>
      <rPr>
        <sz val="10"/>
        <color rgb="FF1A1A1A"/>
        <rFont val="WenQuanYi Zen Hei"/>
        <family val="2"/>
      </rPr>
      <t xml:space="preserve">（</t>
    </r>
    <r>
      <rPr>
        <sz val="10"/>
        <color rgb="FF1A1A1A"/>
        <rFont val="微软雅黑"/>
        <family val="0"/>
        <charset val="1"/>
      </rPr>
      <t xml:space="preserve">2024</t>
    </r>
    <r>
      <rPr>
        <sz val="10"/>
        <color rgb="FF1A1A1A"/>
        <rFont val="WenQuanYi Zen Hei"/>
        <family val="2"/>
      </rPr>
      <t xml:space="preserve">）</t>
    </r>
  </si>
  <si>
    <t xml:space="preserve">D-7</t>
  </si>
  <si>
    <t xml:space="preserve">知识图谱驱动的非遗数字化保护：中西方实施范式的跨文化比较研究</t>
  </si>
  <si>
    <r>
      <rPr>
        <sz val="10"/>
        <color rgb="FF1A1A1A"/>
        <rFont val="WenQuanYi Zen Hei"/>
        <family val="2"/>
      </rPr>
      <t xml:space="preserve">（</t>
    </r>
    <r>
      <rPr>
        <sz val="10"/>
        <color rgb="FF1A1A1A"/>
        <rFont val="微软雅黑"/>
        <family val="0"/>
        <charset val="1"/>
      </rPr>
      <t xml:space="preserve">2025, Humanities and Social Sciences Communications</t>
    </r>
    <r>
      <rPr>
        <sz val="10"/>
        <color rgb="FF1A1A1A"/>
        <rFont val="WenQuanYi Zen Hei"/>
        <family val="2"/>
      </rPr>
      <t xml:space="preserve">）</t>
    </r>
  </si>
  <si>
    <t xml:space="preserve">10.1038/s41599-025-06186-9</t>
  </si>
  <si>
    <t xml:space="preserve">获取进度统计</t>
  </si>
  <si>
    <r>
      <rPr>
        <sz val="9"/>
        <color rgb="FF6B6B6B"/>
        <rFont val="WenQuanYi Zen Hei"/>
        <family val="2"/>
      </rPr>
      <t xml:space="preserve">本表全部为公式，你在「获取清单」</t>
    </r>
    <r>
      <rPr>
        <sz val="9"/>
        <color rgb="FF6B6B6B"/>
        <rFont val="微软雅黑"/>
        <family val="0"/>
        <charset val="1"/>
      </rPr>
      <t xml:space="preserve">K </t>
    </r>
    <r>
      <rPr>
        <sz val="9"/>
        <color rgb="FF6B6B6B"/>
        <rFont val="WenQuanYi Zen Hei"/>
        <family val="2"/>
      </rPr>
      <t xml:space="preserve">列改了状态，这里会自动更新。</t>
    </r>
  </si>
  <si>
    <t xml:space="preserve">按获取方式</t>
  </si>
  <si>
    <t xml:space="preserve">条数</t>
  </si>
  <si>
    <t xml:space="preserve">已下载</t>
  </si>
  <si>
    <t xml:space="preserve">待办</t>
  </si>
  <si>
    <t xml:space="preserve">合计</t>
  </si>
  <si>
    <t xml:space="preserve">按分组</t>
  </si>
  <si>
    <t xml:space="preserve">必读篇目进度</t>
  </si>
  <si>
    <t xml:space="preserve">必读总数</t>
  </si>
  <si>
    <t xml:space="preserve">必读中已下载</t>
  </si>
  <si>
    <t xml:space="preserve">必读完成率</t>
  </si>
  <si>
    <t xml:space="preserve">怎么用这份清单</t>
  </si>
  <si>
    <t xml:space="preserve">当前状态</t>
  </si>
  <si>
    <r>
      <rPr>
        <sz val="10"/>
        <color rgb="FF1A1A1A"/>
        <rFont val="WenQuanYi Zen Hei"/>
        <family val="2"/>
      </rPr>
      <t xml:space="preserve">全部 </t>
    </r>
    <r>
      <rPr>
        <sz val="10"/>
        <color rgb="FF1A1A1A"/>
        <rFont val="微软雅黑"/>
        <family val="0"/>
        <charset val="1"/>
      </rPr>
      <t xml:space="preserve">106 </t>
    </r>
    <r>
      <rPr>
        <sz val="10"/>
        <color rgb="FF1A1A1A"/>
        <rFont val="WenQuanYi Zen Hei"/>
        <family val="2"/>
      </rPr>
      <t xml:space="preserve">条都是「未获取」。建库所在的远程环境出网被网络策略限制（</t>
    </r>
    <r>
      <rPr>
        <sz val="10"/>
        <color rgb="FF1A1A1A"/>
        <rFont val="微软雅黑"/>
        <family val="0"/>
        <charset val="1"/>
      </rPr>
      <t xml:space="preserve">arXiv</t>
    </r>
    <r>
      <rPr>
        <sz val="10"/>
        <color rgb="FF1A1A1A"/>
        <rFont val="WenQuanYi Zen Hei"/>
        <family val="2"/>
      </rPr>
      <t xml:space="preserve">、</t>
    </r>
    <r>
      <rPr>
        <sz val="10"/>
        <color rgb="FF1A1A1A"/>
        <rFont val="微软雅黑"/>
        <family val="0"/>
        <charset val="1"/>
      </rPr>
      <t xml:space="preserve">MDPI</t>
    </r>
    <r>
      <rPr>
        <sz val="10"/>
        <color rgb="FF1A1A1A"/>
        <rFont val="WenQuanYi Zen Hei"/>
        <family val="2"/>
      </rPr>
      <t xml:space="preserve">、</t>
    </r>
    <r>
      <rPr>
        <sz val="10"/>
        <color rgb="FF1A1A1A"/>
        <rFont val="微软雅黑"/>
        <family val="0"/>
        <charset val="1"/>
      </rPr>
      <t xml:space="preserve">Frontiers</t>
    </r>
    <r>
      <rPr>
        <sz val="10"/>
        <color rgb="FF1A1A1A"/>
        <rFont val="WenQuanYi Zen Hei"/>
        <family val="2"/>
      </rPr>
      <t xml:space="preserve">、</t>
    </r>
    <r>
      <rPr>
        <sz val="10"/>
        <color rgb="FF1A1A1A"/>
        <rFont val="微软雅黑"/>
        <family val="0"/>
        <charset val="1"/>
      </rPr>
      <t xml:space="preserve">Nature</t>
    </r>
    <r>
      <rPr>
        <sz val="10"/>
        <color rgb="FF1A1A1A"/>
        <rFont val="WenQuanYi Zen Hei"/>
        <family val="2"/>
      </rPr>
      <t xml:space="preserve">、</t>
    </r>
    <r>
      <rPr>
        <sz val="10"/>
        <color rgb="FF1A1A1A"/>
        <rFont val="微软雅黑"/>
        <family val="0"/>
        <charset val="1"/>
      </rPr>
      <t xml:space="preserve">ACL </t>
    </r>
    <r>
      <rPr>
        <sz val="10"/>
        <color rgb="FF1A1A1A"/>
        <rFont val="WenQuanYi Zen Hei"/>
        <family val="2"/>
      </rPr>
      <t xml:space="preserve">等全部返回 </t>
    </r>
    <r>
      <rPr>
        <sz val="10"/>
        <color rgb="FF1A1A1A"/>
        <rFont val="微软雅黑"/>
        <family val="0"/>
        <charset val="1"/>
      </rPr>
      <t xml:space="preserve">403</t>
    </r>
    <r>
      <rPr>
        <sz val="10"/>
        <color rgb="FF1A1A1A"/>
        <rFont val="WenQuanYi Zen Hei"/>
        <family val="2"/>
      </rPr>
      <t xml:space="preserve">），所以一篇 </t>
    </r>
    <r>
      <rPr>
        <sz val="10"/>
        <color rgb="FF1A1A1A"/>
        <rFont val="微软雅黑"/>
        <family val="0"/>
        <charset val="1"/>
      </rPr>
      <t xml:space="preserve">PDF </t>
    </r>
    <r>
      <rPr>
        <sz val="10"/>
        <color rgb="FF1A1A1A"/>
        <rFont val="WenQuanYi Zen Hei"/>
        <family val="2"/>
      </rPr>
      <t xml:space="preserve">都没能在那边抓下来。下面的步骤需要在你自己的电脑上做。</t>
    </r>
  </si>
  <si>
    <r>
      <rPr>
        <b val="true"/>
        <sz val="11"/>
        <color rgb="FF1F4E79"/>
        <rFont val="WenQuanYi Zen Hei"/>
        <family val="2"/>
      </rPr>
      <t xml:space="preserve">第一步：跑脚本，拿下 ① 类的 </t>
    </r>
    <r>
      <rPr>
        <b val="true"/>
        <sz val="11"/>
        <color rgb="FF1F4E79"/>
        <rFont val="微软雅黑"/>
        <family val="0"/>
        <charset val="1"/>
      </rPr>
      <t xml:space="preserve">50 </t>
    </r>
    <r>
      <rPr>
        <b val="true"/>
        <sz val="11"/>
        <color rgb="FF1F4E79"/>
        <rFont val="WenQuanYi Zen Hei"/>
        <family val="2"/>
      </rPr>
      <t xml:space="preserve">篇</t>
    </r>
  </si>
  <si>
    <r>
      <rPr>
        <sz val="10"/>
        <color rgb="FF1A1A1A"/>
        <rFont val="WenQuanYi Zen Hei"/>
        <family val="2"/>
      </rPr>
      <t xml:space="preserve">把 </t>
    </r>
    <r>
      <rPr>
        <sz val="10"/>
        <color rgb="FF1A1A1A"/>
        <rFont val="微软雅黑"/>
        <family val="0"/>
        <charset val="1"/>
      </rPr>
      <t xml:space="preserve">download_oa_pdfs.sh </t>
    </r>
    <r>
      <rPr>
        <sz val="10"/>
        <color rgb="FF1A1A1A"/>
        <rFont val="WenQuanYi Zen Hei"/>
        <family val="2"/>
      </rPr>
      <t xml:space="preserve">和这份清单放在同一个文件夹，然后：</t>
    </r>
  </si>
  <si>
    <t xml:space="preserve">    bash download_oa_pdfs.sh</t>
  </si>
  <si>
    <r>
      <rPr>
        <sz val="10"/>
        <color rgb="FF1A1A1A"/>
        <rFont val="微软雅黑"/>
        <family val="0"/>
        <charset val="1"/>
      </rPr>
      <t xml:space="preserve">PDF </t>
    </r>
    <r>
      <rPr>
        <sz val="10"/>
        <color rgb="FF1A1A1A"/>
        <rFont val="WenQuanYi Zen Hei"/>
        <family val="2"/>
      </rPr>
      <t xml:space="preserve">会存进 </t>
    </r>
    <r>
      <rPr>
        <sz val="10"/>
        <color rgb="FF1A1A1A"/>
        <rFont val="微软雅黑"/>
        <family val="0"/>
        <charset val="1"/>
      </rPr>
      <t xml:space="preserve">pdfs/ </t>
    </r>
    <r>
      <rPr>
        <sz val="10"/>
        <color rgb="FF1A1A1A"/>
        <rFont val="WenQuanYi Zen Hei"/>
        <family val="2"/>
      </rPr>
      <t xml:space="preserve">子目录。跑完会生成 下载结果</t>
    </r>
    <r>
      <rPr>
        <sz val="10"/>
        <color rgb="FF1A1A1A"/>
        <rFont val="微软雅黑"/>
        <family val="0"/>
        <charset val="1"/>
      </rPr>
      <t xml:space="preserve">.csv</t>
    </r>
    <r>
      <rPr>
        <sz val="10"/>
        <color rgb="FF1A1A1A"/>
        <rFont val="WenQuanYi Zen Hei"/>
        <family val="2"/>
      </rPr>
      <t xml:space="preserve">，逐条写明成功 </t>
    </r>
    <r>
      <rPr>
        <sz val="10"/>
        <color rgb="FF1A1A1A"/>
        <rFont val="微软雅黑"/>
        <family val="0"/>
        <charset val="1"/>
      </rPr>
      <t xml:space="preserve">/ </t>
    </r>
    <r>
      <rPr>
        <sz val="10"/>
        <color rgb="FF1A1A1A"/>
        <rFont val="WenQuanYi Zen Hei"/>
        <family val="2"/>
      </rPr>
      <t xml:space="preserve">跳过 </t>
    </r>
    <r>
      <rPr>
        <sz val="10"/>
        <color rgb="FF1A1A1A"/>
        <rFont val="微软雅黑"/>
        <family val="0"/>
        <charset val="1"/>
      </rPr>
      <t xml:space="preserve">/ </t>
    </r>
    <r>
      <rPr>
        <sz val="10"/>
        <color rgb="FF1A1A1A"/>
        <rFont val="WenQuanYi Zen Hei"/>
        <family val="2"/>
      </rPr>
      <t xml:space="preserve">失败，直接用 </t>
    </r>
    <r>
      <rPr>
        <sz val="10"/>
        <color rgb="FF1A1A1A"/>
        <rFont val="微软雅黑"/>
        <family val="0"/>
        <charset val="1"/>
      </rPr>
      <t xml:space="preserve">Excel </t>
    </r>
    <r>
      <rPr>
        <sz val="10"/>
        <color rgb="FF1A1A1A"/>
        <rFont val="WenQuanYi Zen Hei"/>
        <family val="2"/>
      </rPr>
      <t xml:space="preserve">打开就能看。</t>
    </r>
  </si>
  <si>
    <r>
      <rPr>
        <sz val="9"/>
        <color rgb="FF6B6B6B"/>
        <rFont val="微软雅黑"/>
        <family val="0"/>
        <charset val="1"/>
      </rPr>
      <t xml:space="preserve">Windows </t>
    </r>
    <r>
      <rPr>
        <sz val="9"/>
        <color rgb="FF6B6B6B"/>
        <rFont val="WenQuanYi Zen Hei"/>
        <family val="2"/>
      </rPr>
      <t xml:space="preserve">没有 </t>
    </r>
    <r>
      <rPr>
        <sz val="9"/>
        <color rgb="FF6B6B6B"/>
        <rFont val="微软雅黑"/>
        <family val="0"/>
        <charset val="1"/>
      </rPr>
      <t xml:space="preserve">bash </t>
    </r>
    <r>
      <rPr>
        <sz val="9"/>
        <color rgb="FF6B6B6B"/>
        <rFont val="WenQuanYi Zen Hei"/>
        <family val="2"/>
      </rPr>
      <t xml:space="preserve">的话：用 </t>
    </r>
    <r>
      <rPr>
        <sz val="9"/>
        <color rgb="FF6B6B6B"/>
        <rFont val="微软雅黑"/>
        <family val="0"/>
        <charset val="1"/>
      </rPr>
      <t xml:space="preserve">Git Bash</t>
    </r>
    <r>
      <rPr>
        <sz val="9"/>
        <color rgb="FF6B6B6B"/>
        <rFont val="WenQuanYi Zen Hei"/>
        <family val="2"/>
      </rPr>
      <t xml:space="preserve">，或在 </t>
    </r>
    <r>
      <rPr>
        <sz val="9"/>
        <color rgb="FF6B6B6B"/>
        <rFont val="微软雅黑"/>
        <family val="0"/>
        <charset val="1"/>
      </rPr>
      <t xml:space="preserve">WSL / Mac / Linux </t>
    </r>
    <r>
      <rPr>
        <sz val="9"/>
        <color rgb="FF6B6B6B"/>
        <rFont val="WenQuanYi Zen Hei"/>
        <family val="2"/>
      </rPr>
      <t xml:space="preserve">终端里跑。</t>
    </r>
  </si>
  <si>
    <r>
      <rPr>
        <b val="true"/>
        <sz val="11"/>
        <color rgb="FF1F4E79"/>
        <rFont val="WenQuanYi Zen Hei"/>
        <family val="2"/>
      </rPr>
      <t xml:space="preserve">第二步：把 下载结果</t>
    </r>
    <r>
      <rPr>
        <b val="true"/>
        <sz val="11"/>
        <color rgb="FF1F4E79"/>
        <rFont val="微软雅黑"/>
        <family val="0"/>
        <charset val="1"/>
      </rPr>
      <t xml:space="preserve">.csv </t>
    </r>
    <r>
      <rPr>
        <b val="true"/>
        <sz val="11"/>
        <color rgb="FF1F4E79"/>
        <rFont val="WenQuanYi Zen Hei"/>
        <family val="2"/>
      </rPr>
      <t xml:space="preserve">的结果抄回 </t>
    </r>
    <r>
      <rPr>
        <b val="true"/>
        <sz val="11"/>
        <color rgb="FF1F4E79"/>
        <rFont val="微软雅黑"/>
        <family val="0"/>
        <charset val="1"/>
      </rPr>
      <t xml:space="preserve">K </t>
    </r>
    <r>
      <rPr>
        <b val="true"/>
        <sz val="11"/>
        <color rgb="FF1F4E79"/>
        <rFont val="WenQuanYi Zen Hei"/>
        <family val="2"/>
      </rPr>
      <t xml:space="preserve">列</t>
    </r>
  </si>
  <si>
    <r>
      <rPr>
        <sz val="10"/>
        <color rgb="FF1A1A1A"/>
        <rFont val="WenQuanYi Zen Hei"/>
        <family val="2"/>
      </rPr>
      <t xml:space="preserve">或者更省事：按 </t>
    </r>
    <r>
      <rPr>
        <sz val="10"/>
        <color rgb="FF1A1A1A"/>
        <rFont val="微软雅黑"/>
        <family val="0"/>
        <charset val="1"/>
      </rPr>
      <t xml:space="preserve">K </t>
    </r>
    <r>
      <rPr>
        <sz val="10"/>
        <color rgb="FF1A1A1A"/>
        <rFont val="WenQuanYi Zen Hei"/>
        <family val="2"/>
      </rPr>
      <t xml:space="preserve">列筛选「未获取」，对照 </t>
    </r>
    <r>
      <rPr>
        <sz val="10"/>
        <color rgb="FF1A1A1A"/>
        <rFont val="微软雅黑"/>
        <family val="0"/>
        <charset val="1"/>
      </rPr>
      <t xml:space="preserve">pdfs/ </t>
    </r>
    <r>
      <rPr>
        <sz val="10"/>
        <color rgb="FF1A1A1A"/>
        <rFont val="WenQuanYi Zen Hei"/>
        <family val="2"/>
      </rPr>
      <t xml:space="preserve">目录里已有的文件逐条改。</t>
    </r>
  </si>
  <si>
    <r>
      <rPr>
        <b val="true"/>
        <sz val="11"/>
        <color rgb="FF1F4E79"/>
        <rFont val="WenQuanYi Zen Hei"/>
        <family val="2"/>
      </rPr>
      <t xml:space="preserve">第三步：② 类 </t>
    </r>
    <r>
      <rPr>
        <b val="true"/>
        <sz val="11"/>
        <color rgb="FF1F4E79"/>
        <rFont val="微软雅黑"/>
        <family val="0"/>
        <charset val="1"/>
      </rPr>
      <t xml:space="preserve">15 </t>
    </r>
    <r>
      <rPr>
        <b val="true"/>
        <sz val="11"/>
        <color rgb="FF1F4E79"/>
        <rFont val="WenQuanYi Zen Hei"/>
        <family val="2"/>
      </rPr>
      <t xml:space="preserve">篇，浏览器手动存</t>
    </r>
  </si>
  <si>
    <r>
      <rPr>
        <sz val="10"/>
        <color rgb="FF1A1A1A"/>
        <rFont val="WenQuanYi Zen Hei"/>
        <family val="2"/>
      </rPr>
      <t xml:space="preserve">这些是开放获取，但站点有反爬或是网页正文，脚本抓不稳。点 </t>
    </r>
    <r>
      <rPr>
        <sz val="10"/>
        <color rgb="FF1A1A1A"/>
        <rFont val="微软雅黑"/>
        <family val="0"/>
        <charset val="1"/>
      </rPr>
      <t xml:space="preserve">L </t>
    </r>
    <r>
      <rPr>
        <sz val="10"/>
        <color rgb="FF1A1A1A"/>
        <rFont val="WenQuanYi Zen Hei"/>
        <family val="2"/>
      </rPr>
      <t xml:space="preserve">列的「打开」，在浏览器里另存为 </t>
    </r>
    <r>
      <rPr>
        <sz val="10"/>
        <color rgb="FF1A1A1A"/>
        <rFont val="微软雅黑"/>
        <family val="0"/>
        <charset val="1"/>
      </rPr>
      <t xml:space="preserve">PDF </t>
    </r>
    <r>
      <rPr>
        <sz val="10"/>
        <color rgb="FF1A1A1A"/>
        <rFont val="WenQuanYi Zen Hei"/>
        <family val="2"/>
      </rPr>
      <t xml:space="preserve">即可。</t>
    </r>
  </si>
  <si>
    <r>
      <rPr>
        <b val="true"/>
        <sz val="11"/>
        <color rgb="FF1F4E79"/>
        <rFont val="WenQuanYi Zen Hei"/>
        <family val="2"/>
      </rPr>
      <t xml:space="preserve">第四步：③ 类 </t>
    </r>
    <r>
      <rPr>
        <b val="true"/>
        <sz val="11"/>
        <color rgb="FF1F4E79"/>
        <rFont val="微软雅黑"/>
        <family val="0"/>
        <charset val="1"/>
      </rPr>
      <t xml:space="preserve">39 </t>
    </r>
    <r>
      <rPr>
        <b val="true"/>
        <sz val="11"/>
        <color rgb="FF1F4E79"/>
        <rFont val="WenQuanYi Zen Hei"/>
        <family val="2"/>
      </rPr>
      <t xml:space="preserve">篇，走图书馆</t>
    </r>
  </si>
  <si>
    <r>
      <rPr>
        <sz val="10"/>
        <color rgb="FF1A1A1A"/>
        <rFont val="WenQuanYi Zen Hei"/>
        <family val="2"/>
      </rPr>
      <t xml:space="preserve">湖北工业大学图书馆的 </t>
    </r>
    <r>
      <rPr>
        <sz val="10"/>
        <color rgb="FF1A1A1A"/>
        <rFont val="微软雅黑"/>
        <family val="0"/>
        <charset val="1"/>
      </rPr>
      <t xml:space="preserve">CNKI / Web of Science / ScienceDirect / SpringerLink </t>
    </r>
    <r>
      <rPr>
        <sz val="10"/>
        <color rgb="FF1A1A1A"/>
        <rFont val="WenQuanYi Zen Hei"/>
        <family val="2"/>
      </rPr>
      <t xml:space="preserve">镜像。校外用 </t>
    </r>
    <r>
      <rPr>
        <sz val="10"/>
        <color rgb="FF1A1A1A"/>
        <rFont val="微软雅黑"/>
        <family val="0"/>
        <charset val="1"/>
      </rPr>
      <t xml:space="preserve">VPN </t>
    </r>
    <r>
      <rPr>
        <sz val="10"/>
        <color rgb="FF1A1A1A"/>
        <rFont val="WenQuanYi Zen Hei"/>
        <family val="2"/>
      </rPr>
      <t xml:space="preserve">或图书馆的校外访问入口。建议先集中拿 </t>
    </r>
    <r>
      <rPr>
        <sz val="10"/>
        <color rgb="FF1A1A1A"/>
        <rFont val="微软雅黑"/>
        <family val="0"/>
        <charset val="1"/>
      </rPr>
      <t xml:space="preserve">D </t>
    </r>
    <r>
      <rPr>
        <sz val="10"/>
        <color rgb="FF1A1A1A"/>
        <rFont val="WenQuanYi Zen Hei"/>
        <family val="2"/>
      </rPr>
      <t xml:space="preserve">列标「必读」的那几篇。</t>
    </r>
  </si>
  <si>
    <r>
      <rPr>
        <b val="true"/>
        <sz val="11"/>
        <color rgb="FF1F4E79"/>
        <rFont val="WenQuanYi Zen Hei"/>
        <family val="2"/>
      </rPr>
      <t xml:space="preserve">第五步：④ 类 </t>
    </r>
    <r>
      <rPr>
        <b val="true"/>
        <sz val="11"/>
        <color rgb="FF1F4E79"/>
        <rFont val="微软雅黑"/>
        <family val="0"/>
        <charset val="1"/>
      </rPr>
      <t xml:space="preserve">2 </t>
    </r>
    <r>
      <rPr>
        <b val="true"/>
        <sz val="11"/>
        <color rgb="FF1F4E79"/>
        <rFont val="WenQuanYi Zen Hei"/>
        <family val="2"/>
      </rPr>
      <t xml:space="preserve">本专著</t>
    </r>
  </si>
  <si>
    <r>
      <rPr>
        <sz val="10"/>
        <color rgb="FF1A1A1A"/>
        <rFont val="微软雅黑"/>
        <family val="0"/>
        <charset val="1"/>
      </rPr>
      <t xml:space="preserve">A3-10 Falk &amp; Dierking</t>
    </r>
    <r>
      <rPr>
        <sz val="10"/>
        <color rgb="FF1A1A1A"/>
        <rFont val="WenQuanYi Zen Hei"/>
        <family val="2"/>
      </rPr>
      <t xml:space="preserve">《</t>
    </r>
    <r>
      <rPr>
        <sz val="10"/>
        <color rgb="FF1A1A1A"/>
        <rFont val="微软雅黑"/>
        <family val="0"/>
        <charset val="1"/>
      </rPr>
      <t xml:space="preserve">Learning from Museums</t>
    </r>
    <r>
      <rPr>
        <sz val="10"/>
        <color rgb="FF1A1A1A"/>
        <rFont val="WenQuanYi Zen Hei"/>
        <family val="2"/>
      </rPr>
      <t xml:space="preserve">》、</t>
    </r>
    <r>
      <rPr>
        <sz val="10"/>
        <color rgb="FF1A1A1A"/>
        <rFont val="微软雅黑"/>
        <family val="0"/>
        <charset val="1"/>
      </rPr>
      <t xml:space="preserve">C-14 Jenkins</t>
    </r>
    <r>
      <rPr>
        <sz val="10"/>
        <color rgb="FF1A1A1A"/>
        <rFont val="WenQuanYi Zen Hei"/>
        <family val="2"/>
      </rPr>
      <t xml:space="preserve">《</t>
    </r>
    <r>
      <rPr>
        <sz val="10"/>
        <color rgb="FF1A1A1A"/>
        <rFont val="微软雅黑"/>
        <family val="0"/>
        <charset val="1"/>
      </rPr>
      <t xml:space="preserve">Convergence Culture</t>
    </r>
    <r>
      <rPr>
        <sz val="10"/>
        <color rgb="FF1A1A1A"/>
        <rFont val="WenQuanYi Zen Hei"/>
        <family val="2"/>
      </rPr>
      <t xml:space="preserve">》。图书馆借阅或购买。</t>
    </r>
    <r>
      <rPr>
        <sz val="10"/>
        <color rgb="FF1A1A1A"/>
        <rFont val="微软雅黑"/>
        <family val="0"/>
        <charset val="1"/>
      </rPr>
      <t xml:space="preserve">Jenkins </t>
    </r>
    <r>
      <rPr>
        <sz val="10"/>
        <color rgb="FF1A1A1A"/>
        <rFont val="WenQuanYi Zen Hei"/>
        <family val="2"/>
      </rPr>
      <t xml:space="preserve">有中译本《融合文化》。</t>
    </r>
  </si>
  <si>
    <t xml:space="preserve">各列说明</t>
  </si>
  <si>
    <r>
      <rPr>
        <sz val="10"/>
        <color rgb="FF1A1A1A"/>
        <rFont val="微软雅黑"/>
        <family val="0"/>
        <charset val="1"/>
      </rPr>
      <t xml:space="preserve">A </t>
    </r>
    <r>
      <rPr>
        <sz val="10"/>
        <color rgb="FF1A1A1A"/>
        <rFont val="WenQuanYi Zen Hei"/>
        <family val="2"/>
      </rPr>
      <t xml:space="preserve">编号 —— 与《文献分类与理由》文档中的编号一一对应，去那里看入选理由。</t>
    </r>
  </si>
  <si>
    <r>
      <rPr>
        <sz val="10"/>
        <color rgb="FF1A1A1A"/>
        <rFont val="微软雅黑"/>
        <family val="0"/>
        <charset val="1"/>
      </rPr>
      <t xml:space="preserve">D </t>
    </r>
    <r>
      <rPr>
        <sz val="10"/>
        <color rgb="FF1A1A1A"/>
        <rFont val="WenQuanYi Zen Hei"/>
        <family val="2"/>
      </rPr>
      <t xml:space="preserve">优先级 —— 标「必读」的 </t>
    </r>
    <r>
      <rPr>
        <sz val="10"/>
        <color rgb="FF1A1A1A"/>
        <rFont val="微软雅黑"/>
        <family val="0"/>
        <charset val="1"/>
      </rPr>
      <t xml:space="preserve">23 </t>
    </r>
    <r>
      <rPr>
        <sz val="10"/>
        <color rgb="FF1A1A1A"/>
        <rFont val="WenQuanYi Zen Hei"/>
        <family val="2"/>
      </rPr>
      <t xml:space="preserve">条是各组前三名，时间紧就只拿这些。</t>
    </r>
  </si>
  <si>
    <r>
      <rPr>
        <sz val="10"/>
        <color rgb="FF1A1A1A"/>
        <rFont val="微软雅黑"/>
        <family val="0"/>
        <charset val="1"/>
      </rPr>
      <t xml:space="preserve">J </t>
    </r>
    <r>
      <rPr>
        <sz val="10"/>
        <color rgb="FF1A1A1A"/>
        <rFont val="WenQuanYi Zen Hei"/>
        <family val="2"/>
      </rPr>
      <t xml:space="preserve">获取方式 —— ①②③④ 四类，决定你用哪种办法拿全文。</t>
    </r>
  </si>
  <si>
    <r>
      <rPr>
        <sz val="10"/>
        <color rgb="FF1A1A1A"/>
        <rFont val="微软雅黑"/>
        <family val="0"/>
        <charset val="1"/>
      </rPr>
      <t xml:space="preserve">K </t>
    </r>
    <r>
      <rPr>
        <sz val="10"/>
        <color rgb="FF1A1A1A"/>
        <rFont val="WenQuanYi Zen Hei"/>
        <family val="2"/>
      </rPr>
      <t xml:space="preserve">获取状态 —— 黄色底，这一列是给你填的。下拉可选：未获取 </t>
    </r>
    <r>
      <rPr>
        <sz val="10"/>
        <color rgb="FF1A1A1A"/>
        <rFont val="微软雅黑"/>
        <family val="0"/>
        <charset val="1"/>
      </rPr>
      <t xml:space="preserve">/ </t>
    </r>
    <r>
      <rPr>
        <sz val="10"/>
        <color rgb="FF1A1A1A"/>
        <rFont val="WenQuanYi Zen Hei"/>
        <family val="2"/>
      </rPr>
      <t xml:space="preserve">已下载 </t>
    </r>
    <r>
      <rPr>
        <sz val="10"/>
        <color rgb="FF1A1A1A"/>
        <rFont val="微软雅黑"/>
        <family val="0"/>
        <charset val="1"/>
      </rPr>
      <t xml:space="preserve">/ </t>
    </r>
    <r>
      <rPr>
        <sz val="10"/>
        <color rgb="FF1A1A1A"/>
        <rFont val="WenQuanYi Zen Hei"/>
        <family val="2"/>
      </rPr>
      <t xml:space="preserve">已读 </t>
    </r>
    <r>
      <rPr>
        <sz val="10"/>
        <color rgb="FF1A1A1A"/>
        <rFont val="微软雅黑"/>
        <family val="0"/>
        <charset val="1"/>
      </rPr>
      <t xml:space="preserve">/ </t>
    </r>
    <r>
      <rPr>
        <sz val="10"/>
        <color rgb="FF1A1A1A"/>
        <rFont val="WenQuanYi Zen Hei"/>
        <family val="2"/>
      </rPr>
      <t xml:space="preserve">不需要。例如 </t>
    </r>
    <r>
      <rPr>
        <sz val="10"/>
        <color rgb="FF1A1A1A"/>
        <rFont val="微软雅黑"/>
        <family val="0"/>
        <charset val="1"/>
      </rPr>
      <t xml:space="preserve">A1-1 </t>
    </r>
    <r>
      <rPr>
        <sz val="10"/>
        <color rgb="FF1A1A1A"/>
        <rFont val="WenQuanYi Zen Hei"/>
        <family val="2"/>
      </rPr>
      <t xml:space="preserve">拿到 </t>
    </r>
    <r>
      <rPr>
        <sz val="10"/>
        <color rgb="FF1A1A1A"/>
        <rFont val="微软雅黑"/>
        <family val="0"/>
        <charset val="1"/>
      </rPr>
      <t xml:space="preserve">PDF </t>
    </r>
    <r>
      <rPr>
        <sz val="10"/>
        <color rgb="FF1A1A1A"/>
        <rFont val="WenQuanYi Zen Hei"/>
        <family val="2"/>
      </rPr>
      <t xml:space="preserve">后就把 </t>
    </r>
    <r>
      <rPr>
        <sz val="10"/>
        <color rgb="FF1A1A1A"/>
        <rFont val="微软雅黑"/>
        <family val="0"/>
        <charset val="1"/>
      </rPr>
      <t xml:space="preserve">K </t>
    </r>
    <r>
      <rPr>
        <sz val="10"/>
        <color rgb="FF1A1A1A"/>
        <rFont val="WenQuanYi Zen Hei"/>
        <family val="2"/>
      </rPr>
      <t xml:space="preserve">列从「未获取」改成「已下载」。</t>
    </r>
  </si>
  <si>
    <r>
      <rPr>
        <sz val="10"/>
        <color rgb="FF1A1A1A"/>
        <rFont val="微软雅黑"/>
        <family val="0"/>
        <charset val="1"/>
      </rPr>
      <t xml:space="preserve">L </t>
    </r>
    <r>
      <rPr>
        <sz val="10"/>
        <color rgb="FF1A1A1A"/>
        <rFont val="WenQuanYi Zen Hei"/>
        <family val="2"/>
      </rPr>
      <t xml:space="preserve">链接 —— 点「打开」直接跳转到出版商页面或 </t>
    </r>
    <r>
      <rPr>
        <sz val="10"/>
        <color rgb="FF1A1A1A"/>
        <rFont val="微软雅黑"/>
        <family val="0"/>
        <charset val="1"/>
      </rPr>
      <t xml:space="preserve">DOI</t>
    </r>
    <r>
      <rPr>
        <sz val="10"/>
        <color rgb="FF1A1A1A"/>
        <rFont val="WenQuanYi Zen Hei"/>
        <family val="2"/>
      </rPr>
      <t xml:space="preserve">。</t>
    </r>
  </si>
  <si>
    <r>
      <rPr>
        <sz val="9"/>
        <color rgb="FF6B6B6B"/>
        <rFont val="WenQuanYi Zen Hei"/>
        <family val="2"/>
      </rPr>
      <t xml:space="preserve">填了 </t>
    </r>
    <r>
      <rPr>
        <sz val="9"/>
        <color rgb="FF6B6B6B"/>
        <rFont val="微软雅黑"/>
        <family val="0"/>
        <charset val="1"/>
      </rPr>
      <t xml:space="preserve">K </t>
    </r>
    <r>
      <rPr>
        <sz val="9"/>
        <color rgb="FF6B6B6B"/>
        <rFont val="WenQuanYi Zen Hei"/>
        <family val="2"/>
      </rPr>
      <t xml:space="preserve">列之后，切到「统计」表可以看到进度自动更新。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</si>
</sst>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WenQuanYi Zen Hei"/>
      <family val="2"/>
    </font>
    <font>
      <b val="true"/>
      <sz val="14"/>
      <color rgb="FF1F4E79"/>
      <name val="微软雅黑"/>
      <family val="0"/>
      <charset val="1"/>
    </font>
    <font>
      <sz val="9"/>
      <color rgb="FF6B6B6B"/>
      <name val="WenQuanYi Zen Hei"/>
      <family val="2"/>
    </font>
    <font>
      <sz val="9"/>
      <color rgb="FF6B6B6B"/>
      <name val="微软雅黑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微软雅黑"/>
      <family val="0"/>
      <charset val="1"/>
    </font>
    <font>
      <b val="true"/>
      <sz val="10"/>
      <color rgb="FF1A1A1A"/>
      <name val="微软雅黑"/>
      <family val="0"/>
      <charset val="1"/>
    </font>
    <font>
      <sz val="10"/>
      <color rgb="FF1A1A1A"/>
      <name val="微软雅黑"/>
      <family val="0"/>
      <charset val="1"/>
    </font>
    <font>
      <sz val="10"/>
      <color rgb="FF1A1A1A"/>
      <name val="WenQuanYi Zen Hei"/>
      <family val="2"/>
    </font>
    <font>
      <b val="true"/>
      <sz val="10"/>
      <color rgb="FFB03030"/>
      <name val="WenQuanYi Zen Hei"/>
      <family val="2"/>
    </font>
    <font>
      <u val="single"/>
      <sz val="9"/>
      <color rgb="FF1155CC"/>
      <name val="WenQuanYi Zen Hei"/>
      <family val="2"/>
    </font>
    <font>
      <u val="single"/>
      <sz val="9"/>
      <color rgb="FF1155CC"/>
      <name val="微软雅黑"/>
      <family val="0"/>
      <charset val="1"/>
    </font>
    <font>
      <b val="true"/>
      <sz val="10"/>
      <color rgb="FF1A1A1A"/>
      <name val="WenQuanYi Zen Hei"/>
      <family val="2"/>
    </font>
    <font>
      <b val="true"/>
      <sz val="11"/>
      <color rgb="FF1F4E79"/>
      <name val="WenQuanYi Zen Hei"/>
      <family val="2"/>
    </font>
    <font>
      <b val="true"/>
      <sz val="11"/>
      <color rgb="FF1F4E79"/>
      <name val="微软雅黑"/>
      <family val="0"/>
      <charset val="1"/>
    </font>
    <font>
      <sz val="10"/>
      <color rgb="FF1A1A1A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FF0E4"/>
        <bgColor rgb="FFE4EEF8"/>
      </patternFill>
    </fill>
    <fill>
      <patternFill patternType="solid">
        <fgColor rgb="FFFFF6CC"/>
        <bgColor rgb="FFF2F2F2"/>
      </patternFill>
    </fill>
    <fill>
      <patternFill patternType="solid">
        <fgColor rgb="FFF7F9FB"/>
        <bgColor rgb="FFFFFFFF"/>
      </patternFill>
    </fill>
    <fill>
      <patternFill patternType="solid">
        <fgColor rgb="FFF2F2F2"/>
        <bgColor rgb="FFEEF3F8"/>
      </patternFill>
    </fill>
    <fill>
      <patternFill patternType="solid">
        <fgColor rgb="FFE4EEF8"/>
        <bgColor rgb="FFEEF3F8"/>
      </patternFill>
    </fill>
    <fill>
      <patternFill patternType="solid">
        <fgColor rgb="FFF6E8E8"/>
        <bgColor rgb="FFF2F2F2"/>
      </patternFill>
    </fill>
    <fill>
      <patternFill patternType="solid">
        <fgColor rgb="FFEEF3F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3030"/>
          <bgColor rgb="FF000000"/>
        </patternFill>
      </fill>
    </dxf>
    <dxf>
      <fill>
        <patternFill patternType="solid">
          <fgColor rgb="FFDFF0E4"/>
          <bgColor rgb="FF000000"/>
        </patternFill>
      </fill>
    </dxf>
    <dxf>
      <fill>
        <patternFill patternType="solid">
          <fgColor rgb="FFE4EEF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6E8E8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6B6B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7F9FB"/>
      <rgbColor rgb="FF808080"/>
      <rgbColor rgb="FF9999FF"/>
      <rgbColor rgb="FF993366"/>
      <rgbColor rgb="FFFFF6CC"/>
      <rgbColor rgb="FFE4EEF8"/>
      <rgbColor rgb="FF660066"/>
      <rgbColor rgb="FFFF8080"/>
      <rgbColor rgb="FF1155CC"/>
      <rgbColor rgb="FFD0D7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DFF0E4"/>
      <rgbColor rgb="FFF2F2F2"/>
      <rgbColor rgb="FF99CCFF"/>
      <rgbColor rgb="FFFF99CC"/>
      <rgbColor rgb="FFCC99FF"/>
      <rgbColor rgb="FFF6E8E8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B0303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rontiersin.org/journals/psychology/articles/10.3389/fpsyg.2026.1855866/full" TargetMode="External"/><Relationship Id="rId2" Type="http://schemas.openxmlformats.org/officeDocument/2006/relationships/hyperlink" Target="https://www.emerald.com/insight/content/doi/10.1108/itp-01-2024-0088/full/html" TargetMode="External"/><Relationship Id="rId3" Type="http://schemas.openxmlformats.org/officeDocument/2006/relationships/hyperlink" Target="https://www.frontiersin.org/journals/psychology/articles/10.3389/fpsyg.2026.1880795/full" TargetMode="External"/><Relationship Id="rId4" Type="http://schemas.openxmlformats.org/officeDocument/2006/relationships/hyperlink" Target="https://www.frontiersin.org/journals/psychology/articles/10.3389/fpsyg.2025.1536513/full" TargetMode="External"/><Relationship Id="rId5" Type="http://schemas.openxmlformats.org/officeDocument/2006/relationships/hyperlink" Target="https://www.frontiersin.org/journals/virtual-reality/articles/10.3389/frvir.2026.1833878/full" TargetMode="External"/><Relationship Id="rId6" Type="http://schemas.openxmlformats.org/officeDocument/2006/relationships/hyperlink" Target="https://doi.org/10.1177/01678329251323449" TargetMode="External"/><Relationship Id="rId7" Type="http://schemas.openxmlformats.org/officeDocument/2006/relationships/hyperlink" Target="https://doi.org/10.1177/15554120231208735" TargetMode="External"/><Relationship Id="rId8" Type="http://schemas.openxmlformats.org/officeDocument/2006/relationships/hyperlink" Target="https://doi.org/10.1177/15554120251336564" TargetMode="External"/><Relationship Id="rId9" Type="http://schemas.openxmlformats.org/officeDocument/2006/relationships/hyperlink" Target="https://doi.org/10.1080/10447318.2025.2505159" TargetMode="External"/><Relationship Id="rId10" Type="http://schemas.openxmlformats.org/officeDocument/2006/relationships/hyperlink" Target="https://doi.org/10.1038/s40494-025-02247-z" TargetMode="External"/><Relationship Id="rId11" Type="http://schemas.openxmlformats.org/officeDocument/2006/relationships/hyperlink" Target="https://doi.org/10.1177/14697874261424519" TargetMode="External"/><Relationship Id="rId12" Type="http://schemas.openxmlformats.org/officeDocument/2006/relationships/hyperlink" Target="https://doi.org/10.1007/s11528-025-01106-9" TargetMode="External"/><Relationship Id="rId13" Type="http://schemas.openxmlformats.org/officeDocument/2006/relationships/hyperlink" Target="https://cddoc.uc.cl/wp-content/uploads/2020/03/Metaanalytic_review_rol_instructio.pdf" TargetMode="External"/><Relationship Id="rId14" Type="http://schemas.openxmlformats.org/officeDocument/2006/relationships/hyperlink" Target="https://doi.org/10.1186/s40594-022-00344-0" TargetMode="External"/><Relationship Id="rId15" Type="http://schemas.openxmlformats.org/officeDocument/2006/relationships/hyperlink" Target="https://doi.org/10.1186/s40594-022-00344-0" TargetMode="External"/><Relationship Id="rId16" Type="http://schemas.openxmlformats.org/officeDocument/2006/relationships/hyperlink" Target="https://doi.org/10.1007/s11423-023-10337-7" TargetMode="External"/><Relationship Id="rId17" Type="http://schemas.openxmlformats.org/officeDocument/2006/relationships/hyperlink" Target="https://www.researchgate.net/publication/399556970_Gamification_design_in_cultural_heritage_education_A_systematic_literature_review" TargetMode="External"/><Relationship Id="rId18" Type="http://schemas.openxmlformats.org/officeDocument/2006/relationships/hyperlink" Target="https://www-users.york.ac.uk/paul.cairns/pubs/JennettIJHCS08.pdf" TargetMode="External"/><Relationship Id="rId19" Type="http://schemas.openxmlformats.org/officeDocument/2006/relationships/hyperlink" Target="http://www.communicationcache.com/uploads/1/0/8/8/10887248/the_role_of_transportation_in_the_persuasiveness_of_public_narratives.pdf" TargetMode="External"/><Relationship Id="rId20" Type="http://schemas.openxmlformats.org/officeDocument/2006/relationships/hyperlink" Target="https://openaccess.city.ac.uk/id/eprint/18870/1/Extended%20Transportation-Imagery%20Model%20CRO.pdf" TargetMode="External"/><Relationship Id="rId21" Type="http://schemas.openxmlformats.org/officeDocument/2006/relationships/hyperlink" Target="https://selfdeterminationtheory.org/SDT/documents/2006_RyanRigbyPrzybylski_MandE.pdf" TargetMode="External"/><Relationship Id="rId22" Type="http://schemas.openxmlformats.org/officeDocument/2006/relationships/hyperlink" Target="https://selfdeterminationtheory.org/SDT/documents/2010_PrzybylskiRigbyRyan_ROGP.pdf" TargetMode="External"/><Relationship Id="rId23" Type="http://schemas.openxmlformats.org/officeDocument/2006/relationships/hyperlink" Target="https://dl.acm.org/doi/pdf/10.1145/1077246.1077253" TargetMode="External"/><Relationship Id="rId24" Type="http://schemas.openxmlformats.org/officeDocument/2006/relationships/hyperlink" Target="http://creativegames.org.uk/modules/Gamification/Hamari_etal_Does_gamification_work-2014.pdf" TargetMode="External"/><Relationship Id="rId25" Type="http://schemas.openxmlformats.org/officeDocument/2006/relationships/hyperlink" Target="https://www.sciencedirect.com/science/article/pii/S0268401217305169" TargetMode="External"/><Relationship Id="rId26" Type="http://schemas.openxmlformats.org/officeDocument/2006/relationships/hyperlink" Target="https://doi.org/10.1002/sce.20078" TargetMode="External"/><Relationship Id="rId27" Type="http://schemas.openxmlformats.org/officeDocument/2006/relationships/hyperlink" Target="https://doi.org/10.3390/informatics13010012" TargetMode="External"/><Relationship Id="rId28" Type="http://schemas.openxmlformats.org/officeDocument/2006/relationships/hyperlink" Target="https://doi.org/10.1145/3700881" TargetMode="External"/><Relationship Id="rId29" Type="http://schemas.openxmlformats.org/officeDocument/2006/relationships/hyperlink" Target="https://doi.org/10.1145/3700881" TargetMode="External"/><Relationship Id="rId30" Type="http://schemas.openxmlformats.org/officeDocument/2006/relationships/hyperlink" Target="https://doi.org/10.1038/s40494-024-01477-x" TargetMode="External"/><Relationship Id="rId31" Type="http://schemas.openxmlformats.org/officeDocument/2006/relationships/hyperlink" Target="https://doi.org/10.1007/s10055-026-01436-w" TargetMode="External"/><Relationship Id="rId32" Type="http://schemas.openxmlformats.org/officeDocument/2006/relationships/hyperlink" Target="https://doi.org/10.3390/heritage8100421" TargetMode="External"/><Relationship Id="rId33" Type="http://schemas.openxmlformats.org/officeDocument/2006/relationships/hyperlink" Target="https://doi.org/10.3390/educsci13010047" TargetMode="External"/><Relationship Id="rId34" Type="http://schemas.openxmlformats.org/officeDocument/2006/relationships/hyperlink" Target="https://doi.org/10.3390/app12178476" TargetMode="External"/><Relationship Id="rId35" Type="http://schemas.openxmlformats.org/officeDocument/2006/relationships/hyperlink" Target="https://doi.org/10.1038/s40494-025-02162-3" TargetMode="External"/><Relationship Id="rId36" Type="http://schemas.openxmlformats.org/officeDocument/2006/relationships/hyperlink" Target="https://doi.org/10.1038/s40494-025-02162-3" TargetMode="External"/><Relationship Id="rId37" Type="http://schemas.openxmlformats.org/officeDocument/2006/relationships/hyperlink" Target="https://doi.org/10.1177/15554120211061853" TargetMode="External"/><Relationship Id="rId38" Type="http://schemas.openxmlformats.org/officeDocument/2006/relationships/hyperlink" Target="https://arxiv.org/pdf/2604.10107" TargetMode="External"/><Relationship Id="rId39" Type="http://schemas.openxmlformats.org/officeDocument/2006/relationships/hyperlink" Target="https://doi.org/10.1145/3772363.3798665" TargetMode="External"/><Relationship Id="rId40" Type="http://schemas.openxmlformats.org/officeDocument/2006/relationships/hyperlink" Target="https://arxiv.org/pdf/2304.03442" TargetMode="External"/><Relationship Id="rId41" Type="http://schemas.openxmlformats.org/officeDocument/2006/relationships/hyperlink" Target="https://aclanthology.org/2025.naacl-long.323.pdf" TargetMode="External"/><Relationship Id="rId42" Type="http://schemas.openxmlformats.org/officeDocument/2006/relationships/hyperlink" Target="https://cescg.org/wp-content/uploads/2025/04/A-Quest-for-Information-Enhancing-Game-Based-Learning-with-LLM-Driven-NPCs-2.pdf" TargetMode="External"/><Relationship Id="rId43" Type="http://schemas.openxmlformats.org/officeDocument/2006/relationships/hyperlink" Target="https://aclanthology.org/2025.findings-naacl.46/" TargetMode="External"/><Relationship Id="rId44" Type="http://schemas.openxmlformats.org/officeDocument/2006/relationships/hyperlink" Target="https://aclanthology.org/2025.emnlp-main.980/" TargetMode="External"/><Relationship Id="rId45" Type="http://schemas.openxmlformats.org/officeDocument/2006/relationships/hyperlink" Target="https://doi.org/10.1145/3775062" TargetMode="External"/><Relationship Id="rId46" Type="http://schemas.openxmlformats.org/officeDocument/2006/relationships/hyperlink" Target="https://pmc.ncbi.nlm.nih.gov/articles/PMC13470485/" TargetMode="External"/><Relationship Id="rId47" Type="http://schemas.openxmlformats.org/officeDocument/2006/relationships/hyperlink" Target="https://academic.oup.com/dsh/article-abstract/41/2/1138/8643957" TargetMode="External"/><Relationship Id="rId48" Type="http://schemas.openxmlformats.org/officeDocument/2006/relationships/hyperlink" Target="https://doi.org/10.1038/s40494-026-02384-z" TargetMode="External"/><Relationship Id="rId49" Type="http://schemas.openxmlformats.org/officeDocument/2006/relationships/hyperlink" Target="https://doi.org/10.1145/3706598.3713109" TargetMode="External"/><Relationship Id="rId50" Type="http://schemas.openxmlformats.org/officeDocument/2006/relationships/hyperlink" Target="https://doi.org/10.1145/3706599.3719728" TargetMode="External"/><Relationship Id="rId51" Type="http://schemas.openxmlformats.org/officeDocument/2006/relationships/hyperlink" Target="https://doi.org/10.1089/cpb.2007.0137" TargetMode="External"/><Relationship Id="rId52" Type="http://schemas.openxmlformats.org/officeDocument/2006/relationships/hyperlink" Target="http://net-workingworlds.weebly.com/uploads/1/5/1/5/15155460/videogames__identity.pdf" TargetMode="External"/><Relationship Id="rId53" Type="http://schemas.openxmlformats.org/officeDocument/2006/relationships/hyperlink" Target="http://net-workingworlds.weebly.com/uploads/1/5/1/5/15155460/videogames__identity.pdf" TargetMode="External"/><Relationship Id="rId54" Type="http://schemas.openxmlformats.org/officeDocument/2006/relationships/hyperlink" Target="https://doi.org/10.1177/0093650209356389" TargetMode="External"/><Relationship Id="rId55" Type="http://schemas.openxmlformats.org/officeDocument/2006/relationships/hyperlink" Target="https://www.sciencedirect.com/science/article/pii/S2949882126000757" TargetMode="External"/><Relationship Id="rId56" Type="http://schemas.openxmlformats.org/officeDocument/2006/relationships/hyperlink" Target="https://jps.ecnu.edu.cn/EN/10.16719/j.cnki.1671-6981.20250415" TargetMode="External"/><Relationship Id="rId57" Type="http://schemas.openxmlformats.org/officeDocument/2006/relationships/hyperlink" Target="https://pmc.ncbi.nlm.nih.gov/articles/PMC10702592/" TargetMode="External"/><Relationship Id="rId58" Type="http://schemas.openxmlformats.org/officeDocument/2006/relationships/hyperlink" Target="https://pmc.ncbi.nlm.nih.gov/articles/PMC10702592/" TargetMode="External"/><Relationship Id="rId59" Type="http://schemas.openxmlformats.org/officeDocument/2006/relationships/hyperlink" Target="https://gamestudies.org/2001/articles/burgessjones" TargetMode="External"/><Relationship Id="rId60" Type="http://schemas.openxmlformats.org/officeDocument/2006/relationships/hyperlink" Target="https://doi.org/10.1080/13683500.2025.2555501" TargetMode="External"/><Relationship Id="rId61" Type="http://schemas.openxmlformats.org/officeDocument/2006/relationships/hyperlink" Target="https://doi.org/10.1038/s40494-025-02098-8" TargetMode="External"/><Relationship Id="rId62" Type="http://schemas.openxmlformats.org/officeDocument/2006/relationships/hyperlink" Target="https://doi.org/10.1007/s10055-026-01447-7" TargetMode="External"/><Relationship Id="rId63" Type="http://schemas.openxmlformats.org/officeDocument/2006/relationships/hyperlink" Target="https://doi.org/10.3390/su18083977" TargetMode="External"/><Relationship Id="rId64" Type="http://schemas.openxmlformats.org/officeDocument/2006/relationships/hyperlink" Target="https://pmc.ncbi.nlm.nih.gov/articles/PMC12649338/" TargetMode="External"/><Relationship Id="rId65" Type="http://schemas.openxmlformats.org/officeDocument/2006/relationships/hyperlink" Target="https://pmc.ncbi.nlm.nih.gov/articles/PMC13295875/" TargetMode="External"/><Relationship Id="rId66" Type="http://schemas.openxmlformats.org/officeDocument/2006/relationships/hyperlink" Target="https://doi.org/10.1177/27523543251317572" TargetMode="External"/><Relationship Id="rId67" Type="http://schemas.openxmlformats.org/officeDocument/2006/relationships/hyperlink" Target="https://doi.org/10.1145/3706598.3713171" TargetMode="External"/><Relationship Id="rId68" Type="http://schemas.openxmlformats.org/officeDocument/2006/relationships/hyperlink" Target="https://jcom.sissa.it/article/pubid/JCOM_2501_2026_A09/" TargetMode="External"/><Relationship Id="rId69" Type="http://schemas.openxmlformats.org/officeDocument/2006/relationships/hyperlink" Target="https://jcom.sissa.it/article/pubid/JCOM_2501_2026_A09/" TargetMode="External"/><Relationship Id="rId70" Type="http://schemas.openxmlformats.org/officeDocument/2006/relationships/hyperlink" Target="https://pmc.ncbi.nlm.nih.gov/articles/PMC11407280/" TargetMode="External"/><Relationship Id="rId71" Type="http://schemas.openxmlformats.org/officeDocument/2006/relationships/hyperlink" Target="https://www.sciencedirect.com/science/article/pii/S2211973626000620" TargetMode="External"/><Relationship Id="rId72" Type="http://schemas.openxmlformats.org/officeDocument/2006/relationships/hyperlink" Target="https://doi.org/10.3390/su18010160" TargetMode="External"/><Relationship Id="rId73" Type="http://schemas.openxmlformats.org/officeDocument/2006/relationships/hyperlink" Target="https://www.jnr.ac.cn/EN/10.31497/zrzyxb.20260613" TargetMode="External"/><Relationship Id="rId74" Type="http://schemas.openxmlformats.org/officeDocument/2006/relationships/hyperlink" Target="https://doi.org/10.1108/JHTT-04-2025-0342" TargetMode="External"/><Relationship Id="rId75" Type="http://schemas.openxmlformats.org/officeDocument/2006/relationships/hyperlink" Target="https://doi.org/10.1038/s41599-026-07299-5" TargetMode="External"/><Relationship Id="rId76" Type="http://schemas.openxmlformats.org/officeDocument/2006/relationships/hyperlink" Target="https://www.sciencedirect.com/science/article/abs/pii/S0261517725001529" TargetMode="External"/><Relationship Id="rId77" Type="http://schemas.openxmlformats.org/officeDocument/2006/relationships/hyperlink" Target="https://doi.org/10.3390/tourhosp7040099" TargetMode="External"/><Relationship Id="rId78" Type="http://schemas.openxmlformats.org/officeDocument/2006/relationships/hyperlink" Target="https://doi.org/10.3390/admsci15120470" TargetMode="External"/><Relationship Id="rId79" Type="http://schemas.openxmlformats.org/officeDocument/2006/relationships/hyperlink" Target="https://doi.org/10.1007/978-3-032-12764-8_14" TargetMode="External"/><Relationship Id="rId80" Type="http://schemas.openxmlformats.org/officeDocument/2006/relationships/hyperlink" Target="https://doi.org/10.1007/978-3-032-12764-8_14" TargetMode="External"/><Relationship Id="rId81" Type="http://schemas.openxmlformats.org/officeDocument/2006/relationships/hyperlink" Target="https://research.fs.usda.gov/treesearch/23746" TargetMode="External"/><Relationship Id="rId82" Type="http://schemas.openxmlformats.org/officeDocument/2006/relationships/hyperlink" Target="https://doi.org/10.1207/s15327663jcp1501_10" TargetMode="External"/><Relationship Id="rId83" Type="http://schemas.openxmlformats.org/officeDocument/2006/relationships/hyperlink" Target="https://doi.org/10.1509/jmkg.74.6.1" TargetMode="External"/><Relationship Id="rId84" Type="http://schemas.openxmlformats.org/officeDocument/2006/relationships/hyperlink" Target="https://doi.org/10.3389/fcomm.2025.1692175" TargetMode="External"/><Relationship Id="rId85" Type="http://schemas.openxmlformats.org/officeDocument/2006/relationships/hyperlink" Target="https://www.mct.gov.cn/whzx/whyw/202501/t20250110_957788.htm" TargetMode="External"/><Relationship Id="rId86" Type="http://schemas.openxmlformats.org/officeDocument/2006/relationships/hyperlink" Target="https://www.yrcpa.org.cn/cjwhcjh/xxzx/xydt37/2025120114193314173/index.html" TargetMode="External"/><Relationship Id="rId87" Type="http://schemas.openxmlformats.org/officeDocument/2006/relationships/hyperlink" Target="https://lh.library.hb.cn/ztjj/lhzt/2024/202401/P020240126535677332439.pdf" TargetMode="External"/><Relationship Id="rId88" Type="http://schemas.openxmlformats.org/officeDocument/2006/relationships/hyperlink" Target="https://www.xhby.net/content/s67d02aabe4b06bf0396a1b7e.html" TargetMode="External"/><Relationship Id="rId89" Type="http://schemas.openxmlformats.org/officeDocument/2006/relationships/hyperlink" Target="https://journal12.magtechjournal.com/Jwk_dax/CN/10.16065/j.cnki.issn1002-1620.2024.05.013" TargetMode="External"/><Relationship Id="rId90" Type="http://schemas.openxmlformats.org/officeDocument/2006/relationships/hyperlink" Target="https://m.fx361.com/news/2024/1231/25544286.html" TargetMode="External"/><Relationship Id="rId91" Type="http://schemas.openxmlformats.org/officeDocument/2006/relationships/hyperlink" Target="https://doi.org/10.1038/s41599-025-06186-9" TargetMode="External"/><Relationship Id="rId9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7"/>
    <col collapsed="false" customWidth="true" hidden="false" outlineLevel="0" max="9" min="8" style="0" width="26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30" hidden="false" customHeight="true" outlineLevel="0" collapsed="false">
      <c r="A5" s="5" t="s">
        <v>15</v>
      </c>
      <c r="B5" s="6" t="s">
        <v>16</v>
      </c>
      <c r="C5" s="6" t="s">
        <v>17</v>
      </c>
      <c r="D5" s="7" t="s">
        <v>18</v>
      </c>
      <c r="E5" s="6"/>
      <c r="F5" s="8" t="s">
        <v>19</v>
      </c>
      <c r="G5" s="6" t="s">
        <v>20</v>
      </c>
      <c r="H5" s="8" t="s">
        <v>21</v>
      </c>
      <c r="I5" s="6" t="s">
        <v>22</v>
      </c>
      <c r="J5" s="9" t="s">
        <v>23</v>
      </c>
      <c r="K5" s="10" t="s">
        <v>24</v>
      </c>
      <c r="L5" s="11" t="s">
        <v>25</v>
      </c>
      <c r="M5" s="12" t="s">
        <v>26</v>
      </c>
    </row>
    <row r="6" customFormat="false" ht="30" hidden="false" customHeight="true" outlineLevel="0" collapsed="false">
      <c r="A6" s="13" t="s">
        <v>27</v>
      </c>
      <c r="B6" s="14" t="s">
        <v>16</v>
      </c>
      <c r="C6" s="14" t="s">
        <v>17</v>
      </c>
      <c r="D6" s="15" t="s">
        <v>18</v>
      </c>
      <c r="E6" s="16" t="s">
        <v>28</v>
      </c>
      <c r="F6" s="17" t="s">
        <v>29</v>
      </c>
      <c r="G6" s="14" t="s">
        <v>20</v>
      </c>
      <c r="H6" s="17" t="s">
        <v>30</v>
      </c>
      <c r="I6" s="14" t="s">
        <v>31</v>
      </c>
      <c r="J6" s="18" t="s">
        <v>32</v>
      </c>
      <c r="K6" s="10" t="s">
        <v>24</v>
      </c>
      <c r="L6" s="19" t="s">
        <v>25</v>
      </c>
      <c r="M6" s="20" t="s">
        <v>33</v>
      </c>
    </row>
    <row r="7" customFormat="false" ht="30" hidden="false" customHeight="true" outlineLevel="0" collapsed="false">
      <c r="A7" s="5" t="s">
        <v>34</v>
      </c>
      <c r="B7" s="6" t="s">
        <v>16</v>
      </c>
      <c r="C7" s="6" t="s">
        <v>17</v>
      </c>
      <c r="D7" s="7" t="s">
        <v>18</v>
      </c>
      <c r="E7" s="21" t="s">
        <v>28</v>
      </c>
      <c r="F7" s="8" t="s">
        <v>35</v>
      </c>
      <c r="G7" s="6" t="s">
        <v>20</v>
      </c>
      <c r="H7" s="8" t="s">
        <v>21</v>
      </c>
      <c r="I7" s="6" t="s">
        <v>36</v>
      </c>
      <c r="J7" s="9" t="s">
        <v>23</v>
      </c>
      <c r="K7" s="10" t="s">
        <v>24</v>
      </c>
      <c r="L7" s="11" t="s">
        <v>25</v>
      </c>
      <c r="M7" s="12" t="s">
        <v>26</v>
      </c>
    </row>
    <row r="8" customFormat="false" ht="30" hidden="false" customHeight="true" outlineLevel="0" collapsed="false">
      <c r="A8" s="13" t="s">
        <v>37</v>
      </c>
      <c r="B8" s="14" t="s">
        <v>16</v>
      </c>
      <c r="C8" s="14" t="s">
        <v>17</v>
      </c>
      <c r="D8" s="14"/>
      <c r="E8" s="16" t="s">
        <v>28</v>
      </c>
      <c r="F8" s="17" t="s">
        <v>38</v>
      </c>
      <c r="G8" s="14" t="s">
        <v>39</v>
      </c>
      <c r="H8" s="17" t="s">
        <v>40</v>
      </c>
      <c r="I8" s="14" t="s">
        <v>41</v>
      </c>
      <c r="J8" s="9" t="s">
        <v>23</v>
      </c>
      <c r="K8" s="10" t="s">
        <v>24</v>
      </c>
      <c r="L8" s="19" t="s">
        <v>25</v>
      </c>
      <c r="M8" s="20" t="s">
        <v>26</v>
      </c>
    </row>
    <row r="9" customFormat="false" ht="30" hidden="false" customHeight="true" outlineLevel="0" collapsed="false">
      <c r="A9" s="5" t="s">
        <v>42</v>
      </c>
      <c r="B9" s="6" t="s">
        <v>16</v>
      </c>
      <c r="C9" s="6" t="s">
        <v>17</v>
      </c>
      <c r="D9" s="6"/>
      <c r="E9" s="6"/>
      <c r="F9" s="8" t="s">
        <v>43</v>
      </c>
      <c r="G9" s="6" t="s">
        <v>20</v>
      </c>
      <c r="H9" s="8" t="s">
        <v>44</v>
      </c>
      <c r="I9" s="6" t="s">
        <v>45</v>
      </c>
      <c r="J9" s="9" t="s">
        <v>23</v>
      </c>
      <c r="K9" s="10" t="s">
        <v>24</v>
      </c>
      <c r="L9" s="11" t="s">
        <v>25</v>
      </c>
      <c r="M9" s="12" t="s">
        <v>26</v>
      </c>
    </row>
    <row r="10" customFormat="false" ht="30" hidden="false" customHeight="true" outlineLevel="0" collapsed="false">
      <c r="A10" s="13" t="s">
        <v>46</v>
      </c>
      <c r="B10" s="14" t="s">
        <v>16</v>
      </c>
      <c r="C10" s="14" t="s">
        <v>17</v>
      </c>
      <c r="D10" s="14"/>
      <c r="E10" s="14"/>
      <c r="F10" s="17" t="s">
        <v>47</v>
      </c>
      <c r="G10" s="14" t="s">
        <v>39</v>
      </c>
      <c r="H10" s="17" t="s">
        <v>48</v>
      </c>
      <c r="I10" s="14" t="s">
        <v>49</v>
      </c>
      <c r="J10" s="18" t="s">
        <v>32</v>
      </c>
      <c r="K10" s="10" t="s">
        <v>24</v>
      </c>
      <c r="L10" s="19" t="s">
        <v>25</v>
      </c>
      <c r="M10" s="20" t="s">
        <v>33</v>
      </c>
    </row>
    <row r="11" customFormat="false" ht="30" hidden="false" customHeight="true" outlineLevel="0" collapsed="false">
      <c r="A11" s="5" t="s">
        <v>50</v>
      </c>
      <c r="B11" s="6" t="s">
        <v>16</v>
      </c>
      <c r="C11" s="6" t="s">
        <v>17</v>
      </c>
      <c r="D11" s="6"/>
      <c r="E11" s="6"/>
      <c r="F11" s="8" t="s">
        <v>51</v>
      </c>
      <c r="G11" s="6" t="s">
        <v>39</v>
      </c>
      <c r="H11" s="8" t="s">
        <v>52</v>
      </c>
      <c r="I11" s="6" t="s">
        <v>53</v>
      </c>
      <c r="J11" s="18" t="s">
        <v>32</v>
      </c>
      <c r="K11" s="10" t="s">
        <v>24</v>
      </c>
      <c r="L11" s="11" t="s">
        <v>25</v>
      </c>
      <c r="M11" s="12" t="s">
        <v>33</v>
      </c>
    </row>
    <row r="12" customFormat="false" ht="30" hidden="false" customHeight="true" outlineLevel="0" collapsed="false">
      <c r="A12" s="13" t="s">
        <v>54</v>
      </c>
      <c r="B12" s="14" t="s">
        <v>16</v>
      </c>
      <c r="C12" s="14" t="s">
        <v>17</v>
      </c>
      <c r="D12" s="14"/>
      <c r="E12" s="14"/>
      <c r="F12" s="17" t="s">
        <v>55</v>
      </c>
      <c r="G12" s="14" t="s">
        <v>39</v>
      </c>
      <c r="H12" s="17" t="s">
        <v>56</v>
      </c>
      <c r="I12" s="14" t="s">
        <v>57</v>
      </c>
      <c r="J12" s="18" t="s">
        <v>32</v>
      </c>
      <c r="K12" s="10" t="s">
        <v>24</v>
      </c>
      <c r="L12" s="19" t="s">
        <v>25</v>
      </c>
      <c r="M12" s="20" t="s">
        <v>33</v>
      </c>
    </row>
    <row r="13" customFormat="false" ht="30" hidden="false" customHeight="true" outlineLevel="0" collapsed="false">
      <c r="A13" s="5" t="s">
        <v>58</v>
      </c>
      <c r="B13" s="6" t="s">
        <v>16</v>
      </c>
      <c r="C13" s="6" t="s">
        <v>17</v>
      </c>
      <c r="D13" s="6"/>
      <c r="E13" s="6"/>
      <c r="F13" s="8" t="s">
        <v>59</v>
      </c>
      <c r="G13" s="6" t="s">
        <v>39</v>
      </c>
      <c r="H13" s="8" t="s">
        <v>60</v>
      </c>
      <c r="I13" s="6" t="s">
        <v>61</v>
      </c>
      <c r="J13" s="18" t="s">
        <v>32</v>
      </c>
      <c r="K13" s="10" t="s">
        <v>24</v>
      </c>
      <c r="L13" s="11" t="s">
        <v>25</v>
      </c>
      <c r="M13" s="12" t="s">
        <v>33</v>
      </c>
    </row>
    <row r="14" customFormat="false" ht="30" hidden="false" customHeight="true" outlineLevel="0" collapsed="false">
      <c r="A14" s="13" t="s">
        <v>62</v>
      </c>
      <c r="B14" s="14" t="s">
        <v>16</v>
      </c>
      <c r="C14" s="14" t="s">
        <v>17</v>
      </c>
      <c r="D14" s="14"/>
      <c r="E14" s="14"/>
      <c r="F14" s="17" t="s">
        <v>63</v>
      </c>
      <c r="G14" s="14" t="s">
        <v>39</v>
      </c>
      <c r="H14" s="17" t="s">
        <v>64</v>
      </c>
      <c r="I14" s="14" t="s">
        <v>65</v>
      </c>
      <c r="J14" s="9" t="s">
        <v>23</v>
      </c>
      <c r="K14" s="10" t="s">
        <v>24</v>
      </c>
      <c r="L14" s="19" t="s">
        <v>25</v>
      </c>
      <c r="M14" s="20" t="s">
        <v>26</v>
      </c>
    </row>
    <row r="15" customFormat="false" ht="30" hidden="false" customHeight="true" outlineLevel="0" collapsed="false">
      <c r="A15" s="5" t="s">
        <v>66</v>
      </c>
      <c r="B15" s="6" t="s">
        <v>16</v>
      </c>
      <c r="C15" s="6" t="s">
        <v>67</v>
      </c>
      <c r="D15" s="7" t="s">
        <v>18</v>
      </c>
      <c r="E15" s="21" t="s">
        <v>28</v>
      </c>
      <c r="F15" s="8" t="s">
        <v>68</v>
      </c>
      <c r="G15" s="6" t="s">
        <v>20</v>
      </c>
      <c r="H15" s="8" t="s">
        <v>69</v>
      </c>
      <c r="I15" s="6" t="s">
        <v>70</v>
      </c>
      <c r="J15" s="18" t="s">
        <v>32</v>
      </c>
      <c r="K15" s="10" t="s">
        <v>24</v>
      </c>
      <c r="L15" s="11" t="s">
        <v>25</v>
      </c>
      <c r="M15" s="12" t="s">
        <v>33</v>
      </c>
    </row>
    <row r="16" customFormat="false" ht="30" hidden="false" customHeight="true" outlineLevel="0" collapsed="false">
      <c r="A16" s="13" t="s">
        <v>71</v>
      </c>
      <c r="B16" s="14" t="s">
        <v>16</v>
      </c>
      <c r="C16" s="14" t="s">
        <v>67</v>
      </c>
      <c r="D16" s="14"/>
      <c r="E16" s="16" t="s">
        <v>28</v>
      </c>
      <c r="F16" s="17" t="s">
        <v>72</v>
      </c>
      <c r="G16" s="14" t="s">
        <v>39</v>
      </c>
      <c r="H16" s="17" t="s">
        <v>73</v>
      </c>
      <c r="I16" s="14" t="s">
        <v>74</v>
      </c>
      <c r="J16" s="18" t="s">
        <v>32</v>
      </c>
      <c r="K16" s="10" t="s">
        <v>24</v>
      </c>
      <c r="L16" s="19" t="s">
        <v>25</v>
      </c>
      <c r="M16" s="20" t="s">
        <v>33</v>
      </c>
    </row>
    <row r="17" customFormat="false" ht="30" hidden="false" customHeight="true" outlineLevel="0" collapsed="false">
      <c r="A17" s="5" t="s">
        <v>75</v>
      </c>
      <c r="B17" s="6" t="s">
        <v>16</v>
      </c>
      <c r="C17" s="6" t="s">
        <v>67</v>
      </c>
      <c r="D17" s="6"/>
      <c r="E17" s="21" t="s">
        <v>28</v>
      </c>
      <c r="F17" s="8" t="s">
        <v>76</v>
      </c>
      <c r="G17" s="6"/>
      <c r="H17" s="8" t="s">
        <v>77</v>
      </c>
      <c r="I17" s="6"/>
      <c r="J17" s="18" t="s">
        <v>32</v>
      </c>
      <c r="K17" s="10" t="s">
        <v>24</v>
      </c>
      <c r="L17" s="22"/>
      <c r="M17" s="12" t="s">
        <v>33</v>
      </c>
    </row>
    <row r="18" customFormat="false" ht="30" hidden="false" customHeight="true" outlineLevel="0" collapsed="false">
      <c r="A18" s="13" t="s">
        <v>78</v>
      </c>
      <c r="B18" s="14" t="s">
        <v>16</v>
      </c>
      <c r="C18" s="14" t="s">
        <v>67</v>
      </c>
      <c r="D18" s="14"/>
      <c r="E18" s="16" t="s">
        <v>28</v>
      </c>
      <c r="F18" s="17" t="s">
        <v>79</v>
      </c>
      <c r="G18" s="14"/>
      <c r="H18" s="17" t="s">
        <v>80</v>
      </c>
      <c r="I18" s="14"/>
      <c r="J18" s="9" t="s">
        <v>23</v>
      </c>
      <c r="K18" s="10" t="s">
        <v>24</v>
      </c>
      <c r="L18" s="19" t="s">
        <v>25</v>
      </c>
      <c r="M18" s="20" t="s">
        <v>26</v>
      </c>
    </row>
    <row r="19" customFormat="false" ht="30" hidden="false" customHeight="true" outlineLevel="0" collapsed="false">
      <c r="A19" s="5" t="s">
        <v>81</v>
      </c>
      <c r="B19" s="6" t="s">
        <v>16</v>
      </c>
      <c r="C19" s="6" t="s">
        <v>67</v>
      </c>
      <c r="D19" s="6"/>
      <c r="E19" s="6"/>
      <c r="F19" s="8" t="s">
        <v>82</v>
      </c>
      <c r="G19" s="6" t="s">
        <v>83</v>
      </c>
      <c r="H19" s="8" t="s">
        <v>84</v>
      </c>
      <c r="I19" s="6" t="s">
        <v>85</v>
      </c>
      <c r="J19" s="9" t="s">
        <v>23</v>
      </c>
      <c r="K19" s="10" t="s">
        <v>24</v>
      </c>
      <c r="L19" s="11" t="s">
        <v>25</v>
      </c>
      <c r="M19" s="12" t="s">
        <v>26</v>
      </c>
    </row>
    <row r="20" customFormat="false" ht="30" hidden="false" customHeight="true" outlineLevel="0" collapsed="false">
      <c r="A20" s="13" t="s">
        <v>86</v>
      </c>
      <c r="B20" s="14" t="s">
        <v>16</v>
      </c>
      <c r="C20" s="14" t="s">
        <v>67</v>
      </c>
      <c r="D20" s="14"/>
      <c r="E20" s="14"/>
      <c r="F20" s="17" t="s">
        <v>87</v>
      </c>
      <c r="G20" s="14" t="s">
        <v>88</v>
      </c>
      <c r="H20" s="17" t="s">
        <v>89</v>
      </c>
      <c r="I20" s="14" t="s">
        <v>85</v>
      </c>
      <c r="J20" s="9" t="s">
        <v>23</v>
      </c>
      <c r="K20" s="10" t="s">
        <v>24</v>
      </c>
      <c r="L20" s="19" t="s">
        <v>25</v>
      </c>
      <c r="M20" s="20" t="s">
        <v>26</v>
      </c>
    </row>
    <row r="21" customFormat="false" ht="30" hidden="false" customHeight="true" outlineLevel="0" collapsed="false">
      <c r="A21" s="5" t="s">
        <v>90</v>
      </c>
      <c r="B21" s="6" t="s">
        <v>16</v>
      </c>
      <c r="C21" s="6" t="s">
        <v>67</v>
      </c>
      <c r="D21" s="6"/>
      <c r="E21" s="6"/>
      <c r="F21" s="8" t="s">
        <v>91</v>
      </c>
      <c r="G21" s="6" t="s">
        <v>92</v>
      </c>
      <c r="H21" s="8" t="s">
        <v>93</v>
      </c>
      <c r="I21" s="6" t="s">
        <v>94</v>
      </c>
      <c r="J21" s="18" t="s">
        <v>32</v>
      </c>
      <c r="K21" s="10" t="s">
        <v>24</v>
      </c>
      <c r="L21" s="11" t="s">
        <v>25</v>
      </c>
      <c r="M21" s="12" t="s">
        <v>33</v>
      </c>
    </row>
    <row r="22" customFormat="false" ht="30" hidden="false" customHeight="true" outlineLevel="0" collapsed="false">
      <c r="A22" s="13" t="s">
        <v>95</v>
      </c>
      <c r="B22" s="14" t="s">
        <v>16</v>
      </c>
      <c r="C22" s="14" t="s">
        <v>67</v>
      </c>
      <c r="D22" s="14"/>
      <c r="E22" s="14"/>
      <c r="F22" s="17" t="s">
        <v>96</v>
      </c>
      <c r="G22" s="14"/>
      <c r="H22" s="17"/>
      <c r="I22" s="14"/>
      <c r="J22" s="23" t="s">
        <v>97</v>
      </c>
      <c r="K22" s="10" t="s">
        <v>24</v>
      </c>
      <c r="L22" s="19" t="s">
        <v>25</v>
      </c>
      <c r="M22" s="20" t="s">
        <v>98</v>
      </c>
    </row>
    <row r="23" customFormat="false" ht="30" hidden="false" customHeight="true" outlineLevel="0" collapsed="false">
      <c r="A23" s="5" t="s">
        <v>99</v>
      </c>
      <c r="B23" s="6" t="s">
        <v>16</v>
      </c>
      <c r="C23" s="6" t="s">
        <v>100</v>
      </c>
      <c r="D23" s="7" t="s">
        <v>18</v>
      </c>
      <c r="E23" s="21" t="s">
        <v>28</v>
      </c>
      <c r="F23" s="8" t="s">
        <v>101</v>
      </c>
      <c r="G23" s="6"/>
      <c r="H23" s="8" t="s">
        <v>102</v>
      </c>
      <c r="I23" s="6"/>
      <c r="J23" s="9" t="s">
        <v>23</v>
      </c>
      <c r="K23" s="10" t="s">
        <v>24</v>
      </c>
      <c r="L23" s="11" t="s">
        <v>25</v>
      </c>
      <c r="M23" s="12" t="s">
        <v>26</v>
      </c>
    </row>
    <row r="24" customFormat="false" ht="30" hidden="false" customHeight="true" outlineLevel="0" collapsed="false">
      <c r="A24" s="13" t="s">
        <v>103</v>
      </c>
      <c r="B24" s="14" t="s">
        <v>16</v>
      </c>
      <c r="C24" s="14" t="s">
        <v>100</v>
      </c>
      <c r="D24" s="15" t="s">
        <v>18</v>
      </c>
      <c r="E24" s="16" t="s">
        <v>28</v>
      </c>
      <c r="F24" s="17" t="s">
        <v>104</v>
      </c>
      <c r="G24" s="14"/>
      <c r="H24" s="17" t="s">
        <v>105</v>
      </c>
      <c r="I24" s="14"/>
      <c r="J24" s="9" t="s">
        <v>23</v>
      </c>
      <c r="K24" s="10" t="s">
        <v>24</v>
      </c>
      <c r="L24" s="19" t="s">
        <v>25</v>
      </c>
      <c r="M24" s="20" t="s">
        <v>26</v>
      </c>
    </row>
    <row r="25" customFormat="false" ht="30" hidden="false" customHeight="true" outlineLevel="0" collapsed="false">
      <c r="A25" s="5" t="s">
        <v>106</v>
      </c>
      <c r="B25" s="6" t="s">
        <v>16</v>
      </c>
      <c r="C25" s="6" t="s">
        <v>100</v>
      </c>
      <c r="D25" s="6"/>
      <c r="E25" s="21" t="s">
        <v>28</v>
      </c>
      <c r="F25" s="8" t="s">
        <v>107</v>
      </c>
      <c r="G25" s="6"/>
      <c r="H25" s="8" t="s">
        <v>108</v>
      </c>
      <c r="I25" s="6"/>
      <c r="J25" s="9" t="s">
        <v>23</v>
      </c>
      <c r="K25" s="10" t="s">
        <v>24</v>
      </c>
      <c r="L25" s="11" t="s">
        <v>25</v>
      </c>
      <c r="M25" s="12" t="s">
        <v>26</v>
      </c>
    </row>
    <row r="26" customFormat="false" ht="30" hidden="false" customHeight="true" outlineLevel="0" collapsed="false">
      <c r="A26" s="13" t="s">
        <v>109</v>
      </c>
      <c r="B26" s="14" t="s">
        <v>16</v>
      </c>
      <c r="C26" s="14" t="s">
        <v>100</v>
      </c>
      <c r="D26" s="15" t="s">
        <v>18</v>
      </c>
      <c r="E26" s="16" t="s">
        <v>28</v>
      </c>
      <c r="F26" s="17" t="s">
        <v>110</v>
      </c>
      <c r="G26" s="14"/>
      <c r="H26" s="17" t="s">
        <v>111</v>
      </c>
      <c r="I26" s="14" t="s">
        <v>112</v>
      </c>
      <c r="J26" s="9" t="s">
        <v>23</v>
      </c>
      <c r="K26" s="10" t="s">
        <v>24</v>
      </c>
      <c r="L26" s="19" t="s">
        <v>25</v>
      </c>
      <c r="M26" s="20" t="s">
        <v>26</v>
      </c>
    </row>
    <row r="27" customFormat="false" ht="30" hidden="false" customHeight="true" outlineLevel="0" collapsed="false">
      <c r="A27" s="5" t="s">
        <v>113</v>
      </c>
      <c r="B27" s="6" t="s">
        <v>16</v>
      </c>
      <c r="C27" s="6" t="s">
        <v>100</v>
      </c>
      <c r="D27" s="6"/>
      <c r="E27" s="21" t="s">
        <v>28</v>
      </c>
      <c r="F27" s="8" t="s">
        <v>114</v>
      </c>
      <c r="G27" s="6"/>
      <c r="H27" s="8" t="s">
        <v>115</v>
      </c>
      <c r="I27" s="6"/>
      <c r="J27" s="9" t="s">
        <v>23</v>
      </c>
      <c r="K27" s="10" t="s">
        <v>24</v>
      </c>
      <c r="L27" s="11" t="s">
        <v>25</v>
      </c>
      <c r="M27" s="12" t="s">
        <v>26</v>
      </c>
    </row>
    <row r="28" customFormat="false" ht="30" hidden="false" customHeight="true" outlineLevel="0" collapsed="false">
      <c r="A28" s="13" t="s">
        <v>116</v>
      </c>
      <c r="B28" s="14" t="s">
        <v>16</v>
      </c>
      <c r="C28" s="14" t="s">
        <v>100</v>
      </c>
      <c r="D28" s="14"/>
      <c r="E28" s="16" t="s">
        <v>28</v>
      </c>
      <c r="F28" s="17" t="s">
        <v>117</v>
      </c>
      <c r="G28" s="14"/>
      <c r="H28" s="17" t="s">
        <v>118</v>
      </c>
      <c r="I28" s="14" t="s">
        <v>119</v>
      </c>
      <c r="J28" s="9" t="s">
        <v>23</v>
      </c>
      <c r="K28" s="10" t="s">
        <v>24</v>
      </c>
      <c r="L28" s="19" t="s">
        <v>25</v>
      </c>
      <c r="M28" s="20" t="s">
        <v>26</v>
      </c>
    </row>
    <row r="29" customFormat="false" ht="30" hidden="false" customHeight="true" outlineLevel="0" collapsed="false">
      <c r="A29" s="5" t="s">
        <v>120</v>
      </c>
      <c r="B29" s="6" t="s">
        <v>16</v>
      </c>
      <c r="C29" s="6" t="s">
        <v>100</v>
      </c>
      <c r="D29" s="6"/>
      <c r="E29" s="21" t="s">
        <v>28</v>
      </c>
      <c r="F29" s="8" t="s">
        <v>121</v>
      </c>
      <c r="G29" s="6"/>
      <c r="H29" s="8" t="s">
        <v>122</v>
      </c>
      <c r="I29" s="6"/>
      <c r="J29" s="9" t="s">
        <v>23</v>
      </c>
      <c r="K29" s="10" t="s">
        <v>24</v>
      </c>
      <c r="L29" s="11" t="s">
        <v>25</v>
      </c>
      <c r="M29" s="12" t="s">
        <v>26</v>
      </c>
    </row>
    <row r="30" customFormat="false" ht="30" hidden="false" customHeight="true" outlineLevel="0" collapsed="false">
      <c r="A30" s="13" t="s">
        <v>123</v>
      </c>
      <c r="B30" s="14" t="s">
        <v>16</v>
      </c>
      <c r="C30" s="14" t="s">
        <v>100</v>
      </c>
      <c r="D30" s="14"/>
      <c r="E30" s="16" t="s">
        <v>28</v>
      </c>
      <c r="F30" s="17" t="s">
        <v>124</v>
      </c>
      <c r="G30" s="14"/>
      <c r="H30" s="17" t="s">
        <v>125</v>
      </c>
      <c r="I30" s="14"/>
      <c r="J30" s="18" t="s">
        <v>32</v>
      </c>
      <c r="K30" s="10" t="s">
        <v>24</v>
      </c>
      <c r="L30" s="19" t="s">
        <v>25</v>
      </c>
      <c r="M30" s="20" t="s">
        <v>33</v>
      </c>
    </row>
    <row r="31" customFormat="false" ht="30" hidden="false" customHeight="true" outlineLevel="0" collapsed="false">
      <c r="A31" s="5" t="s">
        <v>126</v>
      </c>
      <c r="B31" s="6" t="s">
        <v>16</v>
      </c>
      <c r="C31" s="6" t="s">
        <v>100</v>
      </c>
      <c r="D31" s="6"/>
      <c r="E31" s="21" t="s">
        <v>28</v>
      </c>
      <c r="F31" s="8" t="s">
        <v>127</v>
      </c>
      <c r="G31" s="6"/>
      <c r="H31" s="8" t="s">
        <v>128</v>
      </c>
      <c r="I31" s="6" t="s">
        <v>129</v>
      </c>
      <c r="J31" s="18" t="s">
        <v>32</v>
      </c>
      <c r="K31" s="10" t="s">
        <v>24</v>
      </c>
      <c r="L31" s="11" t="s">
        <v>25</v>
      </c>
      <c r="M31" s="12" t="s">
        <v>33</v>
      </c>
    </row>
    <row r="32" customFormat="false" ht="30" hidden="false" customHeight="true" outlineLevel="0" collapsed="false">
      <c r="A32" s="13" t="s">
        <v>130</v>
      </c>
      <c r="B32" s="14" t="s">
        <v>16</v>
      </c>
      <c r="C32" s="14" t="s">
        <v>100</v>
      </c>
      <c r="D32" s="14"/>
      <c r="E32" s="14"/>
      <c r="F32" s="17" t="s">
        <v>131</v>
      </c>
      <c r="G32" s="14"/>
      <c r="H32" s="17"/>
      <c r="I32" s="14"/>
      <c r="J32" s="24" t="s">
        <v>132</v>
      </c>
      <c r="K32" s="10" t="s">
        <v>24</v>
      </c>
      <c r="L32" s="25"/>
      <c r="M32" s="20" t="s">
        <v>133</v>
      </c>
    </row>
    <row r="33" customFormat="false" ht="30" hidden="false" customHeight="true" outlineLevel="0" collapsed="false">
      <c r="A33" s="5" t="s">
        <v>134</v>
      </c>
      <c r="B33" s="6" t="s">
        <v>16</v>
      </c>
      <c r="C33" s="6" t="s">
        <v>135</v>
      </c>
      <c r="D33" s="6"/>
      <c r="E33" s="21" t="s">
        <v>28</v>
      </c>
      <c r="F33" s="8" t="s">
        <v>136</v>
      </c>
      <c r="G33" s="6" t="s">
        <v>20</v>
      </c>
      <c r="H33" s="8" t="s">
        <v>137</v>
      </c>
      <c r="I33" s="6" t="s">
        <v>138</v>
      </c>
      <c r="J33" s="9" t="s">
        <v>23</v>
      </c>
      <c r="K33" s="10" t="s">
        <v>24</v>
      </c>
      <c r="L33" s="11" t="s">
        <v>25</v>
      </c>
      <c r="M33" s="12" t="s">
        <v>26</v>
      </c>
    </row>
    <row r="34" customFormat="false" ht="30" hidden="false" customHeight="true" outlineLevel="0" collapsed="false">
      <c r="A34" s="13" t="s">
        <v>139</v>
      </c>
      <c r="B34" s="14" t="s">
        <v>16</v>
      </c>
      <c r="C34" s="14" t="s">
        <v>135</v>
      </c>
      <c r="D34" s="14"/>
      <c r="E34" s="14"/>
      <c r="F34" s="17" t="s">
        <v>140</v>
      </c>
      <c r="G34" s="14" t="s">
        <v>92</v>
      </c>
      <c r="H34" s="17" t="s">
        <v>141</v>
      </c>
      <c r="I34" s="14" t="s">
        <v>142</v>
      </c>
      <c r="J34" s="9" t="s">
        <v>23</v>
      </c>
      <c r="K34" s="10" t="s">
        <v>24</v>
      </c>
      <c r="L34" s="19" t="s">
        <v>25</v>
      </c>
      <c r="M34" s="20" t="s">
        <v>26</v>
      </c>
    </row>
    <row r="35" customFormat="false" ht="30" hidden="false" customHeight="true" outlineLevel="0" collapsed="false">
      <c r="A35" s="5" t="s">
        <v>143</v>
      </c>
      <c r="B35" s="6" t="s">
        <v>16</v>
      </c>
      <c r="C35" s="6" t="s">
        <v>135</v>
      </c>
      <c r="D35" s="6"/>
      <c r="E35" s="6"/>
      <c r="F35" s="8" t="s">
        <v>144</v>
      </c>
      <c r="G35" s="6" t="s">
        <v>92</v>
      </c>
      <c r="H35" s="8" t="s">
        <v>145</v>
      </c>
      <c r="I35" s="6" t="s">
        <v>142</v>
      </c>
      <c r="J35" s="18" t="s">
        <v>32</v>
      </c>
      <c r="K35" s="10" t="s">
        <v>24</v>
      </c>
      <c r="L35" s="11" t="s">
        <v>25</v>
      </c>
      <c r="M35" s="12" t="s">
        <v>33</v>
      </c>
    </row>
    <row r="36" customFormat="false" ht="30" hidden="false" customHeight="true" outlineLevel="0" collapsed="false">
      <c r="A36" s="13" t="s">
        <v>146</v>
      </c>
      <c r="B36" s="14" t="s">
        <v>16</v>
      </c>
      <c r="C36" s="14" t="s">
        <v>135</v>
      </c>
      <c r="D36" s="14"/>
      <c r="E36" s="14"/>
      <c r="F36" s="17" t="s">
        <v>147</v>
      </c>
      <c r="G36" s="14" t="s">
        <v>92</v>
      </c>
      <c r="H36" s="17" t="s">
        <v>148</v>
      </c>
      <c r="I36" s="14" t="s">
        <v>149</v>
      </c>
      <c r="J36" s="9" t="s">
        <v>23</v>
      </c>
      <c r="K36" s="10" t="s">
        <v>24</v>
      </c>
      <c r="L36" s="19" t="s">
        <v>25</v>
      </c>
      <c r="M36" s="20" t="s">
        <v>26</v>
      </c>
    </row>
    <row r="37" customFormat="false" ht="30" hidden="false" customHeight="true" outlineLevel="0" collapsed="false">
      <c r="A37" s="5" t="s">
        <v>150</v>
      </c>
      <c r="B37" s="6" t="s">
        <v>16</v>
      </c>
      <c r="C37" s="6" t="s">
        <v>135</v>
      </c>
      <c r="D37" s="6"/>
      <c r="E37" s="6"/>
      <c r="F37" s="8" t="s">
        <v>151</v>
      </c>
      <c r="G37" s="6" t="s">
        <v>20</v>
      </c>
      <c r="H37" s="8" t="s">
        <v>152</v>
      </c>
      <c r="I37" s="6" t="s">
        <v>153</v>
      </c>
      <c r="J37" s="18" t="s">
        <v>32</v>
      </c>
      <c r="K37" s="10" t="s">
        <v>24</v>
      </c>
      <c r="L37" s="11" t="s">
        <v>25</v>
      </c>
      <c r="M37" s="12" t="s">
        <v>33</v>
      </c>
    </row>
    <row r="38" customFormat="false" ht="30" hidden="false" customHeight="true" outlineLevel="0" collapsed="false">
      <c r="A38" s="13" t="s">
        <v>154</v>
      </c>
      <c r="B38" s="14" t="s">
        <v>16</v>
      </c>
      <c r="C38" s="14" t="s">
        <v>135</v>
      </c>
      <c r="D38" s="14"/>
      <c r="E38" s="14"/>
      <c r="F38" s="17" t="s">
        <v>155</v>
      </c>
      <c r="G38" s="14" t="s">
        <v>39</v>
      </c>
      <c r="H38" s="17" t="s">
        <v>156</v>
      </c>
      <c r="I38" s="14" t="s">
        <v>157</v>
      </c>
      <c r="J38" s="18" t="s">
        <v>32</v>
      </c>
      <c r="K38" s="10" t="s">
        <v>24</v>
      </c>
      <c r="L38" s="19" t="s">
        <v>25</v>
      </c>
      <c r="M38" s="20" t="s">
        <v>33</v>
      </c>
    </row>
    <row r="39" customFormat="false" ht="30" hidden="false" customHeight="true" outlineLevel="0" collapsed="false">
      <c r="A39" s="5" t="s">
        <v>158</v>
      </c>
      <c r="B39" s="6" t="s">
        <v>16</v>
      </c>
      <c r="C39" s="6" t="s">
        <v>135</v>
      </c>
      <c r="D39" s="6"/>
      <c r="E39" s="6"/>
      <c r="F39" s="8" t="s">
        <v>159</v>
      </c>
      <c r="G39" s="6" t="s">
        <v>39</v>
      </c>
      <c r="H39" s="8" t="s">
        <v>160</v>
      </c>
      <c r="I39" s="6" t="s">
        <v>161</v>
      </c>
      <c r="J39" s="9" t="s">
        <v>23</v>
      </c>
      <c r="K39" s="10" t="s">
        <v>24</v>
      </c>
      <c r="L39" s="11" t="s">
        <v>25</v>
      </c>
      <c r="M39" s="12" t="s">
        <v>26</v>
      </c>
    </row>
    <row r="40" customFormat="false" ht="30" hidden="false" customHeight="true" outlineLevel="0" collapsed="false">
      <c r="A40" s="13" t="s">
        <v>162</v>
      </c>
      <c r="B40" s="14" t="s">
        <v>16</v>
      </c>
      <c r="C40" s="14" t="s">
        <v>135</v>
      </c>
      <c r="D40" s="14"/>
      <c r="E40" s="14"/>
      <c r="F40" s="17" t="s">
        <v>163</v>
      </c>
      <c r="G40" s="14" t="s">
        <v>83</v>
      </c>
      <c r="H40" s="17" t="s">
        <v>164</v>
      </c>
      <c r="I40" s="14" t="s">
        <v>165</v>
      </c>
      <c r="J40" s="9" t="s">
        <v>23</v>
      </c>
      <c r="K40" s="10" t="s">
        <v>24</v>
      </c>
      <c r="L40" s="19" t="s">
        <v>25</v>
      </c>
      <c r="M40" s="20" t="s">
        <v>26</v>
      </c>
    </row>
    <row r="41" customFormat="false" ht="30" hidden="false" customHeight="true" outlineLevel="0" collapsed="false">
      <c r="A41" s="5" t="s">
        <v>166</v>
      </c>
      <c r="B41" s="6" t="s">
        <v>16</v>
      </c>
      <c r="C41" s="6" t="s">
        <v>135</v>
      </c>
      <c r="D41" s="6"/>
      <c r="E41" s="6"/>
      <c r="F41" s="8" t="s">
        <v>167</v>
      </c>
      <c r="G41" s="6" t="s">
        <v>88</v>
      </c>
      <c r="H41" s="8" t="s">
        <v>168</v>
      </c>
      <c r="I41" s="6" t="s">
        <v>169</v>
      </c>
      <c r="J41" s="9" t="s">
        <v>23</v>
      </c>
      <c r="K41" s="10" t="s">
        <v>24</v>
      </c>
      <c r="L41" s="11" t="s">
        <v>25</v>
      </c>
      <c r="M41" s="12" t="s">
        <v>26</v>
      </c>
    </row>
    <row r="42" customFormat="false" ht="30" hidden="false" customHeight="true" outlineLevel="0" collapsed="false">
      <c r="A42" s="13" t="s">
        <v>170</v>
      </c>
      <c r="B42" s="14" t="s">
        <v>16</v>
      </c>
      <c r="C42" s="14" t="s">
        <v>135</v>
      </c>
      <c r="D42" s="14"/>
      <c r="E42" s="14"/>
      <c r="F42" s="17" t="s">
        <v>171</v>
      </c>
      <c r="G42" s="14" t="s">
        <v>39</v>
      </c>
      <c r="H42" s="17" t="s">
        <v>64</v>
      </c>
      <c r="I42" s="14" t="s">
        <v>169</v>
      </c>
      <c r="J42" s="9" t="s">
        <v>23</v>
      </c>
      <c r="K42" s="10" t="s">
        <v>24</v>
      </c>
      <c r="L42" s="19" t="s">
        <v>25</v>
      </c>
      <c r="M42" s="20" t="s">
        <v>26</v>
      </c>
    </row>
    <row r="43" customFormat="false" ht="30" hidden="false" customHeight="true" outlineLevel="0" collapsed="false">
      <c r="A43" s="5" t="s">
        <v>172</v>
      </c>
      <c r="B43" s="6" t="s">
        <v>16</v>
      </c>
      <c r="C43" s="6" t="s">
        <v>135</v>
      </c>
      <c r="D43" s="6"/>
      <c r="E43" s="21" t="s">
        <v>28</v>
      </c>
      <c r="F43" s="8" t="s">
        <v>173</v>
      </c>
      <c r="G43" s="6"/>
      <c r="H43" s="8" t="s">
        <v>174</v>
      </c>
      <c r="I43" s="6" t="s">
        <v>175</v>
      </c>
      <c r="J43" s="18" t="s">
        <v>32</v>
      </c>
      <c r="K43" s="10" t="s">
        <v>24</v>
      </c>
      <c r="L43" s="11" t="s">
        <v>25</v>
      </c>
      <c r="M43" s="12" t="s">
        <v>33</v>
      </c>
    </row>
    <row r="44" customFormat="false" ht="30" hidden="false" customHeight="true" outlineLevel="0" collapsed="false">
      <c r="A44" s="13" t="s">
        <v>176</v>
      </c>
      <c r="B44" s="14" t="s">
        <v>177</v>
      </c>
      <c r="C44" s="14" t="s">
        <v>178</v>
      </c>
      <c r="D44" s="15" t="s">
        <v>18</v>
      </c>
      <c r="E44" s="14"/>
      <c r="F44" s="17" t="s">
        <v>179</v>
      </c>
      <c r="G44" s="14" t="s">
        <v>20</v>
      </c>
      <c r="H44" s="17" t="s">
        <v>180</v>
      </c>
      <c r="I44" s="14"/>
      <c r="J44" s="9" t="s">
        <v>23</v>
      </c>
      <c r="K44" s="10" t="s">
        <v>24</v>
      </c>
      <c r="L44" s="19" t="s">
        <v>25</v>
      </c>
      <c r="M44" s="20" t="s">
        <v>26</v>
      </c>
    </row>
    <row r="45" customFormat="false" ht="30" hidden="false" customHeight="true" outlineLevel="0" collapsed="false">
      <c r="A45" s="5" t="s">
        <v>181</v>
      </c>
      <c r="B45" s="6" t="s">
        <v>177</v>
      </c>
      <c r="C45" s="6" t="s">
        <v>178</v>
      </c>
      <c r="D45" s="6"/>
      <c r="E45" s="6"/>
      <c r="F45" s="8" t="s">
        <v>182</v>
      </c>
      <c r="G45" s="6" t="s">
        <v>20</v>
      </c>
      <c r="H45" s="8" t="s">
        <v>183</v>
      </c>
      <c r="I45" s="6" t="s">
        <v>184</v>
      </c>
      <c r="J45" s="18" t="s">
        <v>32</v>
      </c>
      <c r="K45" s="10" t="s">
        <v>24</v>
      </c>
      <c r="L45" s="11" t="s">
        <v>25</v>
      </c>
      <c r="M45" s="12" t="s">
        <v>33</v>
      </c>
    </row>
    <row r="46" customFormat="false" ht="30" hidden="false" customHeight="true" outlineLevel="0" collapsed="false">
      <c r="A46" s="13" t="s">
        <v>185</v>
      </c>
      <c r="B46" s="14" t="s">
        <v>177</v>
      </c>
      <c r="C46" s="14" t="s">
        <v>178</v>
      </c>
      <c r="D46" s="15" t="s">
        <v>18</v>
      </c>
      <c r="E46" s="16" t="s">
        <v>28</v>
      </c>
      <c r="F46" s="17" t="s">
        <v>186</v>
      </c>
      <c r="G46" s="14"/>
      <c r="H46" s="17" t="s">
        <v>187</v>
      </c>
      <c r="I46" s="14" t="s">
        <v>188</v>
      </c>
      <c r="J46" s="9" t="s">
        <v>23</v>
      </c>
      <c r="K46" s="10" t="s">
        <v>24</v>
      </c>
      <c r="L46" s="19" t="s">
        <v>25</v>
      </c>
      <c r="M46" s="20" t="s">
        <v>26</v>
      </c>
    </row>
    <row r="47" customFormat="false" ht="30" hidden="false" customHeight="true" outlineLevel="0" collapsed="false">
      <c r="A47" s="5" t="s">
        <v>189</v>
      </c>
      <c r="B47" s="6" t="s">
        <v>177</v>
      </c>
      <c r="C47" s="6" t="s">
        <v>178</v>
      </c>
      <c r="D47" s="6"/>
      <c r="E47" s="6"/>
      <c r="F47" s="8" t="s">
        <v>190</v>
      </c>
      <c r="G47" s="6" t="s">
        <v>39</v>
      </c>
      <c r="H47" s="8" t="s">
        <v>191</v>
      </c>
      <c r="I47" s="6"/>
      <c r="J47" s="9" t="s">
        <v>23</v>
      </c>
      <c r="K47" s="10" t="s">
        <v>24</v>
      </c>
      <c r="L47" s="11" t="s">
        <v>25</v>
      </c>
      <c r="M47" s="12" t="s">
        <v>26</v>
      </c>
    </row>
    <row r="48" customFormat="false" ht="30" hidden="false" customHeight="true" outlineLevel="0" collapsed="false">
      <c r="A48" s="13" t="s">
        <v>192</v>
      </c>
      <c r="B48" s="14" t="s">
        <v>177</v>
      </c>
      <c r="C48" s="14" t="s">
        <v>178</v>
      </c>
      <c r="D48" s="14"/>
      <c r="E48" s="14"/>
      <c r="F48" s="17" t="s">
        <v>193</v>
      </c>
      <c r="G48" s="14"/>
      <c r="H48" s="17" t="s">
        <v>194</v>
      </c>
      <c r="I48" s="14"/>
      <c r="J48" s="9" t="s">
        <v>23</v>
      </c>
      <c r="K48" s="10" t="s">
        <v>24</v>
      </c>
      <c r="L48" s="25"/>
      <c r="M48" s="20" t="s">
        <v>26</v>
      </c>
    </row>
    <row r="49" customFormat="false" ht="30" hidden="false" customHeight="true" outlineLevel="0" collapsed="false">
      <c r="A49" s="5" t="s">
        <v>195</v>
      </c>
      <c r="B49" s="6" t="s">
        <v>177</v>
      </c>
      <c r="C49" s="6" t="s">
        <v>178</v>
      </c>
      <c r="D49" s="6"/>
      <c r="E49" s="6"/>
      <c r="F49" s="8" t="s">
        <v>196</v>
      </c>
      <c r="G49" s="6" t="s">
        <v>20</v>
      </c>
      <c r="H49" s="8" t="s">
        <v>197</v>
      </c>
      <c r="I49" s="6"/>
      <c r="J49" s="9" t="s">
        <v>23</v>
      </c>
      <c r="K49" s="10" t="s">
        <v>24</v>
      </c>
      <c r="L49" s="22"/>
      <c r="M49" s="12" t="s">
        <v>26</v>
      </c>
    </row>
    <row r="50" customFormat="false" ht="30" hidden="false" customHeight="true" outlineLevel="0" collapsed="false">
      <c r="A50" s="13" t="s">
        <v>198</v>
      </c>
      <c r="B50" s="14" t="s">
        <v>177</v>
      </c>
      <c r="C50" s="14" t="s">
        <v>178</v>
      </c>
      <c r="D50" s="14"/>
      <c r="E50" s="14"/>
      <c r="F50" s="17" t="s">
        <v>199</v>
      </c>
      <c r="G50" s="14" t="s">
        <v>39</v>
      </c>
      <c r="H50" s="17" t="s">
        <v>200</v>
      </c>
      <c r="I50" s="14"/>
      <c r="J50" s="9" t="s">
        <v>23</v>
      </c>
      <c r="K50" s="10" t="s">
        <v>24</v>
      </c>
      <c r="L50" s="19" t="s">
        <v>25</v>
      </c>
      <c r="M50" s="20" t="s">
        <v>26</v>
      </c>
    </row>
    <row r="51" customFormat="false" ht="30" hidden="false" customHeight="true" outlineLevel="0" collapsed="false">
      <c r="A51" s="5" t="s">
        <v>201</v>
      </c>
      <c r="B51" s="6" t="s">
        <v>177</v>
      </c>
      <c r="C51" s="6" t="s">
        <v>178</v>
      </c>
      <c r="D51" s="6"/>
      <c r="E51" s="6"/>
      <c r="F51" s="8" t="s">
        <v>202</v>
      </c>
      <c r="G51" s="6"/>
      <c r="H51" s="8" t="s">
        <v>203</v>
      </c>
      <c r="I51" s="6"/>
      <c r="J51" s="9" t="s">
        <v>23</v>
      </c>
      <c r="K51" s="10" t="s">
        <v>24</v>
      </c>
      <c r="L51" s="22"/>
      <c r="M51" s="12" t="s">
        <v>26</v>
      </c>
    </row>
    <row r="52" customFormat="false" ht="30" hidden="false" customHeight="true" outlineLevel="0" collapsed="false">
      <c r="A52" s="13" t="s">
        <v>204</v>
      </c>
      <c r="B52" s="14" t="s">
        <v>177</v>
      </c>
      <c r="C52" s="14" t="s">
        <v>205</v>
      </c>
      <c r="D52" s="15" t="s">
        <v>18</v>
      </c>
      <c r="E52" s="14"/>
      <c r="F52" s="17" t="s">
        <v>206</v>
      </c>
      <c r="G52" s="14" t="s">
        <v>39</v>
      </c>
      <c r="H52" s="17" t="s">
        <v>207</v>
      </c>
      <c r="I52" s="14"/>
      <c r="J52" s="9" t="s">
        <v>23</v>
      </c>
      <c r="K52" s="10" t="s">
        <v>24</v>
      </c>
      <c r="L52" s="19" t="s">
        <v>25</v>
      </c>
      <c r="M52" s="20" t="s">
        <v>26</v>
      </c>
    </row>
    <row r="53" customFormat="false" ht="30" hidden="false" customHeight="true" outlineLevel="0" collapsed="false">
      <c r="A53" s="5" t="s">
        <v>208</v>
      </c>
      <c r="B53" s="6" t="s">
        <v>177</v>
      </c>
      <c r="C53" s="6" t="s">
        <v>205</v>
      </c>
      <c r="D53" s="7" t="s">
        <v>18</v>
      </c>
      <c r="E53" s="6"/>
      <c r="F53" s="8" t="s">
        <v>209</v>
      </c>
      <c r="G53" s="6" t="s">
        <v>39</v>
      </c>
      <c r="H53" s="8" t="s">
        <v>210</v>
      </c>
      <c r="I53" s="6"/>
      <c r="J53" s="9" t="s">
        <v>23</v>
      </c>
      <c r="K53" s="10" t="s">
        <v>24</v>
      </c>
      <c r="L53" s="11" t="s">
        <v>25</v>
      </c>
      <c r="M53" s="12" t="s">
        <v>26</v>
      </c>
    </row>
    <row r="54" customFormat="false" ht="30" hidden="false" customHeight="true" outlineLevel="0" collapsed="false">
      <c r="A54" s="13" t="s">
        <v>211</v>
      </c>
      <c r="B54" s="14" t="s">
        <v>177</v>
      </c>
      <c r="C54" s="14" t="s">
        <v>205</v>
      </c>
      <c r="D54" s="14"/>
      <c r="E54" s="14"/>
      <c r="F54" s="17" t="s">
        <v>212</v>
      </c>
      <c r="G54" s="14" t="s">
        <v>39</v>
      </c>
      <c r="H54" s="17" t="s">
        <v>213</v>
      </c>
      <c r="I54" s="14" t="s">
        <v>214</v>
      </c>
      <c r="J54" s="18" t="s">
        <v>32</v>
      </c>
      <c r="K54" s="10" t="s">
        <v>24</v>
      </c>
      <c r="L54" s="19" t="s">
        <v>25</v>
      </c>
      <c r="M54" s="20" t="s">
        <v>33</v>
      </c>
    </row>
    <row r="55" customFormat="false" ht="30" hidden="false" customHeight="true" outlineLevel="0" collapsed="false">
      <c r="A55" s="5" t="s">
        <v>215</v>
      </c>
      <c r="B55" s="6" t="s">
        <v>177</v>
      </c>
      <c r="C55" s="6" t="s">
        <v>205</v>
      </c>
      <c r="D55" s="6"/>
      <c r="E55" s="6"/>
      <c r="F55" s="8" t="s">
        <v>216</v>
      </c>
      <c r="G55" s="6" t="s">
        <v>39</v>
      </c>
      <c r="H55" s="8" t="s">
        <v>39</v>
      </c>
      <c r="I55" s="6"/>
      <c r="J55" s="23" t="s">
        <v>97</v>
      </c>
      <c r="K55" s="10" t="s">
        <v>24</v>
      </c>
      <c r="L55" s="11" t="s">
        <v>25</v>
      </c>
      <c r="M55" s="12" t="s">
        <v>98</v>
      </c>
    </row>
    <row r="56" customFormat="false" ht="30" hidden="false" customHeight="true" outlineLevel="0" collapsed="false">
      <c r="A56" s="13" t="s">
        <v>217</v>
      </c>
      <c r="B56" s="14" t="s">
        <v>177</v>
      </c>
      <c r="C56" s="14" t="s">
        <v>205</v>
      </c>
      <c r="D56" s="14"/>
      <c r="E56" s="14"/>
      <c r="F56" s="17" t="s">
        <v>218</v>
      </c>
      <c r="G56" s="14" t="s">
        <v>20</v>
      </c>
      <c r="H56" s="17" t="s">
        <v>219</v>
      </c>
      <c r="I56" s="14"/>
      <c r="J56" s="18" t="s">
        <v>32</v>
      </c>
      <c r="K56" s="10" t="s">
        <v>24</v>
      </c>
      <c r="L56" s="19" t="s">
        <v>25</v>
      </c>
      <c r="M56" s="20" t="s">
        <v>33</v>
      </c>
    </row>
    <row r="57" customFormat="false" ht="30" hidden="false" customHeight="true" outlineLevel="0" collapsed="false">
      <c r="A57" s="5" t="s">
        <v>220</v>
      </c>
      <c r="B57" s="6" t="s">
        <v>177</v>
      </c>
      <c r="C57" s="6" t="s">
        <v>205</v>
      </c>
      <c r="D57" s="6"/>
      <c r="E57" s="6"/>
      <c r="F57" s="8" t="s">
        <v>221</v>
      </c>
      <c r="G57" s="6" t="s">
        <v>20</v>
      </c>
      <c r="H57" s="8" t="s">
        <v>222</v>
      </c>
      <c r="I57" s="6" t="s">
        <v>223</v>
      </c>
      <c r="J57" s="9" t="s">
        <v>23</v>
      </c>
      <c r="K57" s="10" t="s">
        <v>24</v>
      </c>
      <c r="L57" s="11" t="s">
        <v>25</v>
      </c>
      <c r="M57" s="12" t="s">
        <v>26</v>
      </c>
    </row>
    <row r="58" customFormat="false" ht="30" hidden="false" customHeight="true" outlineLevel="0" collapsed="false">
      <c r="A58" s="13" t="s">
        <v>224</v>
      </c>
      <c r="B58" s="14" t="s">
        <v>177</v>
      </c>
      <c r="C58" s="14" t="s">
        <v>205</v>
      </c>
      <c r="D58" s="14"/>
      <c r="E58" s="14"/>
      <c r="F58" s="17" t="s">
        <v>225</v>
      </c>
      <c r="G58" s="14" t="s">
        <v>39</v>
      </c>
      <c r="H58" s="17" t="s">
        <v>226</v>
      </c>
      <c r="I58" s="14"/>
      <c r="J58" s="9" t="s">
        <v>23</v>
      </c>
      <c r="K58" s="10" t="s">
        <v>24</v>
      </c>
      <c r="L58" s="25"/>
      <c r="M58" s="20" t="s">
        <v>26</v>
      </c>
    </row>
    <row r="59" customFormat="false" ht="30" hidden="false" customHeight="true" outlineLevel="0" collapsed="false">
      <c r="A59" s="5" t="s">
        <v>227</v>
      </c>
      <c r="B59" s="6" t="s">
        <v>177</v>
      </c>
      <c r="C59" s="6" t="s">
        <v>205</v>
      </c>
      <c r="D59" s="7" t="s">
        <v>18</v>
      </c>
      <c r="E59" s="21" t="s">
        <v>28</v>
      </c>
      <c r="F59" s="8" t="s">
        <v>228</v>
      </c>
      <c r="G59" s="6" t="s">
        <v>39</v>
      </c>
      <c r="H59" s="8" t="s">
        <v>229</v>
      </c>
      <c r="I59" s="6" t="s">
        <v>230</v>
      </c>
      <c r="J59" s="18" t="s">
        <v>32</v>
      </c>
      <c r="K59" s="10" t="s">
        <v>24</v>
      </c>
      <c r="L59" s="11" t="s">
        <v>25</v>
      </c>
      <c r="M59" s="12" t="s">
        <v>33</v>
      </c>
    </row>
    <row r="60" customFormat="false" ht="30" hidden="false" customHeight="true" outlineLevel="0" collapsed="false">
      <c r="A60" s="13" t="s">
        <v>231</v>
      </c>
      <c r="B60" s="14" t="s">
        <v>177</v>
      </c>
      <c r="C60" s="14" t="s">
        <v>205</v>
      </c>
      <c r="D60" s="14"/>
      <c r="E60" s="14"/>
      <c r="F60" s="17" t="s">
        <v>232</v>
      </c>
      <c r="G60" s="14" t="s">
        <v>39</v>
      </c>
      <c r="H60" s="17" t="s">
        <v>233</v>
      </c>
      <c r="I60" s="14" t="s">
        <v>234</v>
      </c>
      <c r="J60" s="18" t="s">
        <v>32</v>
      </c>
      <c r="K60" s="10" t="s">
        <v>24</v>
      </c>
      <c r="L60" s="19" t="s">
        <v>25</v>
      </c>
      <c r="M60" s="20" t="s">
        <v>33</v>
      </c>
    </row>
    <row r="61" customFormat="false" ht="30" hidden="false" customHeight="true" outlineLevel="0" collapsed="false">
      <c r="A61" s="5" t="s">
        <v>235</v>
      </c>
      <c r="B61" s="6" t="s">
        <v>177</v>
      </c>
      <c r="C61" s="6" t="s">
        <v>236</v>
      </c>
      <c r="D61" s="7" t="s">
        <v>18</v>
      </c>
      <c r="E61" s="21" t="s">
        <v>28</v>
      </c>
      <c r="F61" s="8" t="s">
        <v>237</v>
      </c>
      <c r="G61" s="6"/>
      <c r="H61" s="8" t="s">
        <v>238</v>
      </c>
      <c r="I61" s="6" t="s">
        <v>239</v>
      </c>
      <c r="J61" s="18" t="s">
        <v>32</v>
      </c>
      <c r="K61" s="10" t="s">
        <v>24</v>
      </c>
      <c r="L61" s="11" t="s">
        <v>25</v>
      </c>
      <c r="M61" s="12" t="s">
        <v>33</v>
      </c>
    </row>
    <row r="62" customFormat="false" ht="30" hidden="false" customHeight="true" outlineLevel="0" collapsed="false">
      <c r="A62" s="13" t="s">
        <v>240</v>
      </c>
      <c r="B62" s="14" t="s">
        <v>177</v>
      </c>
      <c r="C62" s="14" t="s">
        <v>236</v>
      </c>
      <c r="D62" s="14"/>
      <c r="E62" s="16" t="s">
        <v>28</v>
      </c>
      <c r="F62" s="17" t="s">
        <v>241</v>
      </c>
      <c r="G62" s="14"/>
      <c r="H62" s="17" t="s">
        <v>242</v>
      </c>
      <c r="I62" s="14" t="s">
        <v>243</v>
      </c>
      <c r="J62" s="18" t="s">
        <v>32</v>
      </c>
      <c r="K62" s="10" t="s">
        <v>24</v>
      </c>
      <c r="L62" s="19" t="s">
        <v>25</v>
      </c>
      <c r="M62" s="20" t="s">
        <v>33</v>
      </c>
    </row>
    <row r="63" customFormat="false" ht="30" hidden="false" customHeight="true" outlineLevel="0" collapsed="false">
      <c r="A63" s="5" t="s">
        <v>244</v>
      </c>
      <c r="B63" s="6" t="s">
        <v>177</v>
      </c>
      <c r="C63" s="6" t="s">
        <v>236</v>
      </c>
      <c r="D63" s="6"/>
      <c r="E63" s="6"/>
      <c r="F63" s="8" t="s">
        <v>245</v>
      </c>
      <c r="G63" s="6"/>
      <c r="H63" s="8" t="s">
        <v>246</v>
      </c>
      <c r="I63" s="6"/>
      <c r="J63" s="9" t="s">
        <v>23</v>
      </c>
      <c r="K63" s="10" t="s">
        <v>24</v>
      </c>
      <c r="L63" s="11" t="s">
        <v>25</v>
      </c>
      <c r="M63" s="12" t="s">
        <v>26</v>
      </c>
    </row>
    <row r="64" customFormat="false" ht="30" hidden="false" customHeight="true" outlineLevel="0" collapsed="false">
      <c r="A64" s="13" t="s">
        <v>247</v>
      </c>
      <c r="B64" s="14" t="s">
        <v>177</v>
      </c>
      <c r="C64" s="14" t="s">
        <v>236</v>
      </c>
      <c r="D64" s="14"/>
      <c r="E64" s="14"/>
      <c r="F64" s="17" t="s">
        <v>248</v>
      </c>
      <c r="G64" s="14"/>
      <c r="H64" s="17" t="s">
        <v>249</v>
      </c>
      <c r="I64" s="14"/>
      <c r="J64" s="18" t="s">
        <v>32</v>
      </c>
      <c r="K64" s="10" t="s">
        <v>24</v>
      </c>
      <c r="L64" s="25"/>
      <c r="M64" s="20" t="s">
        <v>33</v>
      </c>
    </row>
    <row r="65" customFormat="false" ht="30" hidden="false" customHeight="true" outlineLevel="0" collapsed="false">
      <c r="A65" s="5" t="s">
        <v>250</v>
      </c>
      <c r="B65" s="6" t="s">
        <v>177</v>
      </c>
      <c r="C65" s="6" t="s">
        <v>236</v>
      </c>
      <c r="D65" s="6"/>
      <c r="E65" s="21" t="s">
        <v>28</v>
      </c>
      <c r="F65" s="8" t="s">
        <v>251</v>
      </c>
      <c r="G65" s="6"/>
      <c r="H65" s="8" t="s">
        <v>252</v>
      </c>
      <c r="I65" s="6"/>
      <c r="J65" s="18" t="s">
        <v>32</v>
      </c>
      <c r="K65" s="10" t="s">
        <v>24</v>
      </c>
      <c r="L65" s="22"/>
      <c r="M65" s="12" t="s">
        <v>33</v>
      </c>
    </row>
    <row r="66" customFormat="false" ht="30" hidden="false" customHeight="true" outlineLevel="0" collapsed="false">
      <c r="A66" s="13" t="s">
        <v>253</v>
      </c>
      <c r="B66" s="14" t="s">
        <v>177</v>
      </c>
      <c r="C66" s="14" t="s">
        <v>236</v>
      </c>
      <c r="D66" s="14"/>
      <c r="E66" s="14"/>
      <c r="F66" s="17" t="s">
        <v>254</v>
      </c>
      <c r="G66" s="14"/>
      <c r="H66" s="17" t="s">
        <v>255</v>
      </c>
      <c r="I66" s="14" t="s">
        <v>256</v>
      </c>
      <c r="J66" s="18" t="s">
        <v>32</v>
      </c>
      <c r="K66" s="10" t="s">
        <v>24</v>
      </c>
      <c r="L66" s="19" t="s">
        <v>25</v>
      </c>
      <c r="M66" s="20" t="s">
        <v>33</v>
      </c>
    </row>
    <row r="67" customFormat="false" ht="30" hidden="false" customHeight="true" outlineLevel="0" collapsed="false">
      <c r="A67" s="5" t="s">
        <v>257</v>
      </c>
      <c r="B67" s="6" t="s">
        <v>177</v>
      </c>
      <c r="C67" s="6" t="s">
        <v>236</v>
      </c>
      <c r="D67" s="6"/>
      <c r="E67" s="21" t="s">
        <v>28</v>
      </c>
      <c r="F67" s="8" t="s">
        <v>258</v>
      </c>
      <c r="G67" s="6"/>
      <c r="H67" s="8" t="s">
        <v>259</v>
      </c>
      <c r="I67" s="6"/>
      <c r="J67" s="18" t="s">
        <v>32</v>
      </c>
      <c r="K67" s="10" t="s">
        <v>24</v>
      </c>
      <c r="L67" s="22"/>
      <c r="M67" s="12" t="s">
        <v>33</v>
      </c>
    </row>
    <row r="68" customFormat="false" ht="30" hidden="false" customHeight="true" outlineLevel="0" collapsed="false">
      <c r="A68" s="13" t="s">
        <v>260</v>
      </c>
      <c r="B68" s="14" t="s">
        <v>177</v>
      </c>
      <c r="C68" s="14" t="s">
        <v>236</v>
      </c>
      <c r="D68" s="15" t="s">
        <v>18</v>
      </c>
      <c r="E68" s="14"/>
      <c r="F68" s="17" t="s">
        <v>261</v>
      </c>
      <c r="G68" s="14" t="s">
        <v>20</v>
      </c>
      <c r="H68" s="17" t="s">
        <v>262</v>
      </c>
      <c r="I68" s="14"/>
      <c r="J68" s="18" t="s">
        <v>32</v>
      </c>
      <c r="K68" s="10" t="s">
        <v>24</v>
      </c>
      <c r="L68" s="19" t="s">
        <v>25</v>
      </c>
      <c r="M68" s="20" t="s">
        <v>33</v>
      </c>
    </row>
    <row r="69" customFormat="false" ht="30" hidden="false" customHeight="true" outlineLevel="0" collapsed="false">
      <c r="A69" s="5" t="s">
        <v>263</v>
      </c>
      <c r="B69" s="6" t="s">
        <v>177</v>
      </c>
      <c r="C69" s="6" t="s">
        <v>236</v>
      </c>
      <c r="D69" s="6"/>
      <c r="E69" s="6"/>
      <c r="F69" s="8" t="s">
        <v>264</v>
      </c>
      <c r="G69" s="6" t="s">
        <v>39</v>
      </c>
      <c r="H69" s="8" t="s">
        <v>265</v>
      </c>
      <c r="I69" s="6"/>
      <c r="J69" s="9" t="s">
        <v>23</v>
      </c>
      <c r="K69" s="10" t="s">
        <v>24</v>
      </c>
      <c r="L69" s="22"/>
      <c r="M69" s="12" t="s">
        <v>26</v>
      </c>
    </row>
    <row r="70" customFormat="false" ht="30" hidden="false" customHeight="true" outlineLevel="0" collapsed="false">
      <c r="A70" s="13" t="s">
        <v>266</v>
      </c>
      <c r="B70" s="14" t="s">
        <v>177</v>
      </c>
      <c r="C70" s="14" t="s">
        <v>236</v>
      </c>
      <c r="D70" s="14"/>
      <c r="E70" s="14"/>
      <c r="F70" s="17" t="s">
        <v>267</v>
      </c>
      <c r="G70" s="14" t="s">
        <v>39</v>
      </c>
      <c r="H70" s="17" t="s">
        <v>268</v>
      </c>
      <c r="I70" s="14"/>
      <c r="J70" s="9" t="s">
        <v>23</v>
      </c>
      <c r="K70" s="10" t="s">
        <v>24</v>
      </c>
      <c r="L70" s="25"/>
      <c r="M70" s="20" t="s">
        <v>26</v>
      </c>
    </row>
    <row r="71" customFormat="false" ht="30" hidden="false" customHeight="true" outlineLevel="0" collapsed="false">
      <c r="A71" s="5" t="s">
        <v>269</v>
      </c>
      <c r="B71" s="6" t="s">
        <v>177</v>
      </c>
      <c r="C71" s="6" t="s">
        <v>236</v>
      </c>
      <c r="D71" s="6"/>
      <c r="E71" s="6"/>
      <c r="F71" s="26" t="s">
        <v>270</v>
      </c>
      <c r="G71" s="6" t="s">
        <v>39</v>
      </c>
      <c r="H71" s="8" t="s">
        <v>271</v>
      </c>
      <c r="I71" s="6"/>
      <c r="J71" s="23" t="s">
        <v>97</v>
      </c>
      <c r="K71" s="10" t="s">
        <v>24</v>
      </c>
      <c r="L71" s="11" t="s">
        <v>25</v>
      </c>
      <c r="M71" s="12" t="s">
        <v>98</v>
      </c>
    </row>
    <row r="72" customFormat="false" ht="30" hidden="false" customHeight="true" outlineLevel="0" collapsed="false">
      <c r="A72" s="13" t="s">
        <v>272</v>
      </c>
      <c r="B72" s="14" t="s">
        <v>177</v>
      </c>
      <c r="C72" s="14" t="s">
        <v>236</v>
      </c>
      <c r="D72" s="14"/>
      <c r="E72" s="14"/>
      <c r="F72" s="17" t="s">
        <v>273</v>
      </c>
      <c r="G72" s="14" t="s">
        <v>39</v>
      </c>
      <c r="H72" s="17" t="s">
        <v>39</v>
      </c>
      <c r="I72" s="14" t="s">
        <v>274</v>
      </c>
      <c r="J72" s="18" t="s">
        <v>32</v>
      </c>
      <c r="K72" s="10" t="s">
        <v>24</v>
      </c>
      <c r="L72" s="19" t="s">
        <v>25</v>
      </c>
      <c r="M72" s="20" t="s">
        <v>33</v>
      </c>
    </row>
    <row r="73" customFormat="false" ht="30" hidden="false" customHeight="true" outlineLevel="0" collapsed="false">
      <c r="A73" s="5" t="s">
        <v>275</v>
      </c>
      <c r="B73" s="6" t="s">
        <v>177</v>
      </c>
      <c r="C73" s="6" t="s">
        <v>236</v>
      </c>
      <c r="D73" s="6"/>
      <c r="E73" s="6"/>
      <c r="F73" s="8" t="s">
        <v>276</v>
      </c>
      <c r="G73" s="6" t="s">
        <v>83</v>
      </c>
      <c r="H73" s="8" t="s">
        <v>83</v>
      </c>
      <c r="I73" s="6"/>
      <c r="J73" s="23" t="s">
        <v>97</v>
      </c>
      <c r="K73" s="10" t="s">
        <v>24</v>
      </c>
      <c r="L73" s="11" t="s">
        <v>25</v>
      </c>
      <c r="M73" s="12" t="s">
        <v>98</v>
      </c>
    </row>
    <row r="74" customFormat="false" ht="30" hidden="false" customHeight="true" outlineLevel="0" collapsed="false">
      <c r="A74" s="13" t="s">
        <v>277</v>
      </c>
      <c r="B74" s="14" t="s">
        <v>177</v>
      </c>
      <c r="C74" s="14" t="s">
        <v>236</v>
      </c>
      <c r="D74" s="14"/>
      <c r="E74" s="14"/>
      <c r="F74" s="17" t="s">
        <v>278</v>
      </c>
      <c r="G74" s="14"/>
      <c r="H74" s="17" t="s">
        <v>279</v>
      </c>
      <c r="I74" s="14"/>
      <c r="J74" s="23" t="s">
        <v>97</v>
      </c>
      <c r="K74" s="10" t="s">
        <v>24</v>
      </c>
      <c r="L74" s="19" t="s">
        <v>25</v>
      </c>
      <c r="M74" s="20" t="s">
        <v>98</v>
      </c>
    </row>
    <row r="75" customFormat="false" ht="30" hidden="false" customHeight="true" outlineLevel="0" collapsed="false">
      <c r="A75" s="5" t="s">
        <v>280</v>
      </c>
      <c r="B75" s="6" t="s">
        <v>177</v>
      </c>
      <c r="C75" s="6" t="s">
        <v>281</v>
      </c>
      <c r="D75" s="7" t="s">
        <v>18</v>
      </c>
      <c r="E75" s="21" t="s">
        <v>28</v>
      </c>
      <c r="F75" s="8" t="s">
        <v>282</v>
      </c>
      <c r="G75" s="6" t="s">
        <v>39</v>
      </c>
      <c r="H75" s="8" t="s">
        <v>283</v>
      </c>
      <c r="I75" s="6" t="s">
        <v>284</v>
      </c>
      <c r="J75" s="18" t="s">
        <v>32</v>
      </c>
      <c r="K75" s="10" t="s">
        <v>24</v>
      </c>
      <c r="L75" s="11" t="s">
        <v>25</v>
      </c>
      <c r="M75" s="12" t="s">
        <v>33</v>
      </c>
    </row>
    <row r="76" customFormat="false" ht="30" hidden="false" customHeight="true" outlineLevel="0" collapsed="false">
      <c r="A76" s="13" t="s">
        <v>285</v>
      </c>
      <c r="B76" s="14" t="s">
        <v>177</v>
      </c>
      <c r="C76" s="14" t="s">
        <v>281</v>
      </c>
      <c r="D76" s="14"/>
      <c r="E76" s="14"/>
      <c r="F76" s="17" t="s">
        <v>286</v>
      </c>
      <c r="G76" s="14" t="s">
        <v>39</v>
      </c>
      <c r="H76" s="17" t="s">
        <v>64</v>
      </c>
      <c r="I76" s="14" t="s">
        <v>287</v>
      </c>
      <c r="J76" s="9" t="s">
        <v>23</v>
      </c>
      <c r="K76" s="10" t="s">
        <v>24</v>
      </c>
      <c r="L76" s="19" t="s">
        <v>25</v>
      </c>
      <c r="M76" s="20" t="s">
        <v>26</v>
      </c>
    </row>
    <row r="77" customFormat="false" ht="30" hidden="false" customHeight="true" outlineLevel="0" collapsed="false">
      <c r="A77" s="5" t="s">
        <v>288</v>
      </c>
      <c r="B77" s="6" t="s">
        <v>177</v>
      </c>
      <c r="C77" s="6" t="s">
        <v>281</v>
      </c>
      <c r="D77" s="6"/>
      <c r="E77" s="6"/>
      <c r="F77" s="8" t="s">
        <v>289</v>
      </c>
      <c r="G77" s="6" t="s">
        <v>20</v>
      </c>
      <c r="H77" s="8" t="s">
        <v>152</v>
      </c>
      <c r="I77" s="6" t="s">
        <v>290</v>
      </c>
      <c r="J77" s="18" t="s">
        <v>32</v>
      </c>
      <c r="K77" s="10" t="s">
        <v>24</v>
      </c>
      <c r="L77" s="11" t="s">
        <v>25</v>
      </c>
      <c r="M77" s="12" t="s">
        <v>33</v>
      </c>
    </row>
    <row r="78" customFormat="false" ht="30" hidden="false" customHeight="true" outlineLevel="0" collapsed="false">
      <c r="A78" s="13" t="s">
        <v>291</v>
      </c>
      <c r="B78" s="14" t="s">
        <v>177</v>
      </c>
      <c r="C78" s="14" t="s">
        <v>281</v>
      </c>
      <c r="D78" s="14"/>
      <c r="E78" s="14"/>
      <c r="F78" s="17" t="s">
        <v>292</v>
      </c>
      <c r="G78" s="14" t="s">
        <v>20</v>
      </c>
      <c r="H78" s="17" t="s">
        <v>293</v>
      </c>
      <c r="I78" s="14" t="s">
        <v>294</v>
      </c>
      <c r="J78" s="9" t="s">
        <v>23</v>
      </c>
      <c r="K78" s="10" t="s">
        <v>24</v>
      </c>
      <c r="L78" s="19" t="s">
        <v>25</v>
      </c>
      <c r="M78" s="20" t="s">
        <v>26</v>
      </c>
    </row>
    <row r="79" customFormat="false" ht="30" hidden="false" customHeight="true" outlineLevel="0" collapsed="false">
      <c r="A79" s="5" t="s">
        <v>295</v>
      </c>
      <c r="B79" s="6" t="s">
        <v>177</v>
      </c>
      <c r="C79" s="6" t="s">
        <v>281</v>
      </c>
      <c r="D79" s="6"/>
      <c r="E79" s="6"/>
      <c r="F79" s="8" t="s">
        <v>296</v>
      </c>
      <c r="G79" s="6" t="s">
        <v>39</v>
      </c>
      <c r="H79" s="8" t="s">
        <v>39</v>
      </c>
      <c r="I79" s="6"/>
      <c r="J79" s="23" t="s">
        <v>97</v>
      </c>
      <c r="K79" s="10" t="s">
        <v>24</v>
      </c>
      <c r="L79" s="11" t="s">
        <v>25</v>
      </c>
      <c r="M79" s="12" t="s">
        <v>98</v>
      </c>
    </row>
    <row r="80" customFormat="false" ht="30" hidden="false" customHeight="true" outlineLevel="0" collapsed="false">
      <c r="A80" s="13" t="s">
        <v>297</v>
      </c>
      <c r="B80" s="14" t="s">
        <v>177</v>
      </c>
      <c r="C80" s="14" t="s">
        <v>281</v>
      </c>
      <c r="D80" s="15" t="s">
        <v>18</v>
      </c>
      <c r="E80" s="16" t="s">
        <v>28</v>
      </c>
      <c r="F80" s="17" t="s">
        <v>298</v>
      </c>
      <c r="G80" s="14" t="s">
        <v>20</v>
      </c>
      <c r="H80" s="17" t="s">
        <v>299</v>
      </c>
      <c r="I80" s="14" t="s">
        <v>300</v>
      </c>
      <c r="J80" s="9" t="s">
        <v>23</v>
      </c>
      <c r="K80" s="10" t="s">
        <v>24</v>
      </c>
      <c r="L80" s="19" t="s">
        <v>25</v>
      </c>
      <c r="M80" s="20" t="s">
        <v>26</v>
      </c>
    </row>
    <row r="81" customFormat="false" ht="30" hidden="false" customHeight="true" outlineLevel="0" collapsed="false">
      <c r="A81" s="5" t="s">
        <v>301</v>
      </c>
      <c r="B81" s="6" t="s">
        <v>177</v>
      </c>
      <c r="C81" s="6" t="s">
        <v>281</v>
      </c>
      <c r="D81" s="6"/>
      <c r="E81" s="6"/>
      <c r="F81" s="8" t="s">
        <v>302</v>
      </c>
      <c r="G81" s="6"/>
      <c r="H81" s="8"/>
      <c r="I81" s="6" t="s">
        <v>303</v>
      </c>
      <c r="J81" s="18" t="s">
        <v>32</v>
      </c>
      <c r="K81" s="10" t="s">
        <v>24</v>
      </c>
      <c r="L81" s="11" t="s">
        <v>25</v>
      </c>
      <c r="M81" s="12" t="s">
        <v>33</v>
      </c>
    </row>
    <row r="82" customFormat="false" ht="30" hidden="false" customHeight="true" outlineLevel="0" collapsed="false">
      <c r="A82" s="13" t="s">
        <v>304</v>
      </c>
      <c r="B82" s="14" t="s">
        <v>177</v>
      </c>
      <c r="C82" s="14" t="s">
        <v>281</v>
      </c>
      <c r="D82" s="14"/>
      <c r="E82" s="14"/>
      <c r="F82" s="17" t="s">
        <v>305</v>
      </c>
      <c r="G82" s="14" t="s">
        <v>39</v>
      </c>
      <c r="H82" s="17" t="s">
        <v>306</v>
      </c>
      <c r="I82" s="14" t="s">
        <v>307</v>
      </c>
      <c r="J82" s="9" t="s">
        <v>23</v>
      </c>
      <c r="K82" s="10" t="s">
        <v>24</v>
      </c>
      <c r="L82" s="19" t="s">
        <v>25</v>
      </c>
      <c r="M82" s="20" t="s">
        <v>26</v>
      </c>
    </row>
    <row r="83" customFormat="false" ht="30" hidden="false" customHeight="true" outlineLevel="0" collapsed="false">
      <c r="A83" s="5" t="s">
        <v>308</v>
      </c>
      <c r="B83" s="6" t="s">
        <v>177</v>
      </c>
      <c r="C83" s="6" t="s">
        <v>281</v>
      </c>
      <c r="D83" s="6"/>
      <c r="E83" s="6"/>
      <c r="F83" s="8" t="s">
        <v>309</v>
      </c>
      <c r="G83" s="6" t="s">
        <v>39</v>
      </c>
      <c r="H83" s="8" t="s">
        <v>229</v>
      </c>
      <c r="I83" s="6" t="s">
        <v>307</v>
      </c>
      <c r="J83" s="18" t="s">
        <v>32</v>
      </c>
      <c r="K83" s="10" t="s">
        <v>24</v>
      </c>
      <c r="L83" s="11" t="s">
        <v>25</v>
      </c>
      <c r="M83" s="12" t="s">
        <v>33</v>
      </c>
    </row>
    <row r="84" customFormat="false" ht="30" hidden="false" customHeight="true" outlineLevel="0" collapsed="false">
      <c r="A84" s="13" t="s">
        <v>310</v>
      </c>
      <c r="B84" s="14" t="s">
        <v>177</v>
      </c>
      <c r="C84" s="14" t="s">
        <v>281</v>
      </c>
      <c r="D84" s="14"/>
      <c r="E84" s="14"/>
      <c r="F84" s="17" t="s">
        <v>311</v>
      </c>
      <c r="G84" s="14" t="s">
        <v>20</v>
      </c>
      <c r="H84" s="17" t="s">
        <v>312</v>
      </c>
      <c r="I84" s="14"/>
      <c r="J84" s="23" t="s">
        <v>97</v>
      </c>
      <c r="K84" s="10" t="s">
        <v>24</v>
      </c>
      <c r="L84" s="19" t="s">
        <v>25</v>
      </c>
      <c r="M84" s="20" t="s">
        <v>98</v>
      </c>
    </row>
    <row r="85" customFormat="false" ht="30" hidden="false" customHeight="true" outlineLevel="0" collapsed="false">
      <c r="A85" s="5" t="s">
        <v>313</v>
      </c>
      <c r="B85" s="6" t="s">
        <v>177</v>
      </c>
      <c r="C85" s="6" t="s">
        <v>281</v>
      </c>
      <c r="D85" s="7" t="s">
        <v>18</v>
      </c>
      <c r="E85" s="6"/>
      <c r="F85" s="8" t="s">
        <v>314</v>
      </c>
      <c r="G85" s="6" t="s">
        <v>92</v>
      </c>
      <c r="H85" s="8" t="s">
        <v>315</v>
      </c>
      <c r="I85" s="6" t="s">
        <v>316</v>
      </c>
      <c r="J85" s="23" t="s">
        <v>97</v>
      </c>
      <c r="K85" s="10" t="s">
        <v>24</v>
      </c>
      <c r="L85" s="11" t="s">
        <v>25</v>
      </c>
      <c r="M85" s="12" t="s">
        <v>98</v>
      </c>
    </row>
    <row r="86" customFormat="false" ht="30" hidden="false" customHeight="true" outlineLevel="0" collapsed="false">
      <c r="A86" s="13" t="s">
        <v>317</v>
      </c>
      <c r="B86" s="14" t="s">
        <v>177</v>
      </c>
      <c r="C86" s="14" t="s">
        <v>281</v>
      </c>
      <c r="D86" s="14"/>
      <c r="E86" s="14"/>
      <c r="F86" s="17" t="s">
        <v>318</v>
      </c>
      <c r="G86" s="14" t="s">
        <v>92</v>
      </c>
      <c r="H86" s="17" t="s">
        <v>319</v>
      </c>
      <c r="I86" s="14"/>
      <c r="J86" s="9" t="s">
        <v>23</v>
      </c>
      <c r="K86" s="10" t="s">
        <v>24</v>
      </c>
      <c r="L86" s="25"/>
      <c r="M86" s="20" t="s">
        <v>26</v>
      </c>
    </row>
    <row r="87" customFormat="false" ht="30" hidden="false" customHeight="true" outlineLevel="0" collapsed="false">
      <c r="A87" s="5" t="s">
        <v>320</v>
      </c>
      <c r="B87" s="6" t="s">
        <v>177</v>
      </c>
      <c r="C87" s="6" t="s">
        <v>281</v>
      </c>
      <c r="D87" s="6"/>
      <c r="E87" s="6"/>
      <c r="F87" s="8" t="s">
        <v>321</v>
      </c>
      <c r="G87" s="6" t="s">
        <v>39</v>
      </c>
      <c r="H87" s="8" t="s">
        <v>322</v>
      </c>
      <c r="I87" s="6"/>
      <c r="J87" s="9" t="s">
        <v>23</v>
      </c>
      <c r="K87" s="10" t="s">
        <v>24</v>
      </c>
      <c r="L87" s="22"/>
      <c r="M87" s="12" t="s">
        <v>26</v>
      </c>
    </row>
    <row r="88" customFormat="false" ht="30" hidden="false" customHeight="true" outlineLevel="0" collapsed="false">
      <c r="A88" s="13" t="s">
        <v>323</v>
      </c>
      <c r="B88" s="14" t="s">
        <v>177</v>
      </c>
      <c r="C88" s="14" t="s">
        <v>281</v>
      </c>
      <c r="D88" s="14"/>
      <c r="E88" s="14"/>
      <c r="F88" s="17" t="s">
        <v>324</v>
      </c>
      <c r="G88" s="14" t="s">
        <v>39</v>
      </c>
      <c r="H88" s="17" t="s">
        <v>325</v>
      </c>
      <c r="I88" s="14"/>
      <c r="J88" s="9" t="s">
        <v>23</v>
      </c>
      <c r="K88" s="10" t="s">
        <v>24</v>
      </c>
      <c r="L88" s="25"/>
      <c r="M88" s="20" t="s">
        <v>26</v>
      </c>
    </row>
    <row r="89" customFormat="false" ht="30" hidden="false" customHeight="true" outlineLevel="0" collapsed="false">
      <c r="A89" s="5" t="s">
        <v>326</v>
      </c>
      <c r="B89" s="6" t="s">
        <v>327</v>
      </c>
      <c r="C89" s="6" t="s">
        <v>281</v>
      </c>
      <c r="D89" s="7" t="s">
        <v>18</v>
      </c>
      <c r="E89" s="6"/>
      <c r="F89" s="8" t="s">
        <v>328</v>
      </c>
      <c r="G89" s="6" t="s">
        <v>20</v>
      </c>
      <c r="H89" s="8" t="s">
        <v>329</v>
      </c>
      <c r="I89" s="6"/>
      <c r="J89" s="18" t="s">
        <v>32</v>
      </c>
      <c r="K89" s="10" t="s">
        <v>24</v>
      </c>
      <c r="L89" s="11" t="s">
        <v>25</v>
      </c>
      <c r="M89" s="12" t="s">
        <v>33</v>
      </c>
    </row>
    <row r="90" customFormat="false" ht="30" hidden="false" customHeight="true" outlineLevel="0" collapsed="false">
      <c r="A90" s="13" t="s">
        <v>330</v>
      </c>
      <c r="B90" s="14" t="s">
        <v>327</v>
      </c>
      <c r="C90" s="14" t="s">
        <v>281</v>
      </c>
      <c r="D90" s="14"/>
      <c r="E90" s="14"/>
      <c r="F90" s="17" t="s">
        <v>331</v>
      </c>
      <c r="G90" s="14" t="s">
        <v>20</v>
      </c>
      <c r="H90" s="17" t="s">
        <v>332</v>
      </c>
      <c r="I90" s="14" t="s">
        <v>333</v>
      </c>
      <c r="J90" s="9" t="s">
        <v>23</v>
      </c>
      <c r="K90" s="10" t="s">
        <v>24</v>
      </c>
      <c r="L90" s="19" t="s">
        <v>25</v>
      </c>
      <c r="M90" s="20" t="s">
        <v>26</v>
      </c>
    </row>
    <row r="91" customFormat="false" ht="30" hidden="false" customHeight="true" outlineLevel="0" collapsed="false">
      <c r="A91" s="5" t="s">
        <v>334</v>
      </c>
      <c r="B91" s="6" t="s">
        <v>327</v>
      </c>
      <c r="C91" s="6" t="s">
        <v>281</v>
      </c>
      <c r="D91" s="7" t="s">
        <v>18</v>
      </c>
      <c r="E91" s="6"/>
      <c r="F91" s="8" t="s">
        <v>335</v>
      </c>
      <c r="G91" s="6" t="s">
        <v>20</v>
      </c>
      <c r="H91" s="8" t="s">
        <v>336</v>
      </c>
      <c r="I91" s="6" t="s">
        <v>337</v>
      </c>
      <c r="J91" s="23" t="s">
        <v>97</v>
      </c>
      <c r="K91" s="10" t="s">
        <v>24</v>
      </c>
      <c r="L91" s="11" t="s">
        <v>25</v>
      </c>
      <c r="M91" s="12" t="s">
        <v>98</v>
      </c>
    </row>
    <row r="92" customFormat="false" ht="30" hidden="false" customHeight="true" outlineLevel="0" collapsed="false">
      <c r="A92" s="13" t="s">
        <v>338</v>
      </c>
      <c r="B92" s="14" t="s">
        <v>327</v>
      </c>
      <c r="C92" s="14" t="s">
        <v>281</v>
      </c>
      <c r="D92" s="15" t="s">
        <v>18</v>
      </c>
      <c r="E92" s="16" t="s">
        <v>28</v>
      </c>
      <c r="F92" s="17" t="s">
        <v>339</v>
      </c>
      <c r="G92" s="14" t="s">
        <v>39</v>
      </c>
      <c r="H92" s="17" t="s">
        <v>340</v>
      </c>
      <c r="I92" s="14" t="s">
        <v>341</v>
      </c>
      <c r="J92" s="18" t="s">
        <v>32</v>
      </c>
      <c r="K92" s="10" t="s">
        <v>24</v>
      </c>
      <c r="L92" s="19" t="s">
        <v>25</v>
      </c>
      <c r="M92" s="20" t="s">
        <v>33</v>
      </c>
    </row>
    <row r="93" customFormat="false" ht="30" hidden="false" customHeight="true" outlineLevel="0" collapsed="false">
      <c r="A93" s="5" t="s">
        <v>342</v>
      </c>
      <c r="B93" s="6" t="s">
        <v>327</v>
      </c>
      <c r="C93" s="6" t="s">
        <v>281</v>
      </c>
      <c r="D93" s="6"/>
      <c r="E93" s="6"/>
      <c r="F93" s="8" t="s">
        <v>343</v>
      </c>
      <c r="G93" s="6" t="s">
        <v>20</v>
      </c>
      <c r="H93" s="8" t="s">
        <v>344</v>
      </c>
      <c r="I93" s="6" t="s">
        <v>345</v>
      </c>
      <c r="J93" s="9" t="s">
        <v>23</v>
      </c>
      <c r="K93" s="10" t="s">
        <v>24</v>
      </c>
      <c r="L93" s="11" t="s">
        <v>25</v>
      </c>
      <c r="M93" s="12" t="s">
        <v>26</v>
      </c>
    </row>
    <row r="94" customFormat="false" ht="30" hidden="false" customHeight="true" outlineLevel="0" collapsed="false">
      <c r="A94" s="13" t="s">
        <v>346</v>
      </c>
      <c r="B94" s="14" t="s">
        <v>327</v>
      </c>
      <c r="C94" s="14" t="s">
        <v>281</v>
      </c>
      <c r="D94" s="14"/>
      <c r="E94" s="14"/>
      <c r="F94" s="17" t="s">
        <v>347</v>
      </c>
      <c r="G94" s="14" t="s">
        <v>39</v>
      </c>
      <c r="H94" s="17" t="s">
        <v>348</v>
      </c>
      <c r="I94" s="14"/>
      <c r="J94" s="18" t="s">
        <v>32</v>
      </c>
      <c r="K94" s="10" t="s">
        <v>24</v>
      </c>
      <c r="L94" s="19" t="s">
        <v>25</v>
      </c>
      <c r="M94" s="20" t="s">
        <v>33</v>
      </c>
    </row>
    <row r="95" customFormat="false" ht="30" hidden="false" customHeight="true" outlineLevel="0" collapsed="false">
      <c r="A95" s="5" t="s">
        <v>349</v>
      </c>
      <c r="B95" s="6" t="s">
        <v>327</v>
      </c>
      <c r="C95" s="6" t="s">
        <v>281</v>
      </c>
      <c r="D95" s="6"/>
      <c r="E95" s="6"/>
      <c r="F95" s="8" t="s">
        <v>350</v>
      </c>
      <c r="G95" s="6" t="s">
        <v>20</v>
      </c>
      <c r="H95" s="8" t="s">
        <v>351</v>
      </c>
      <c r="I95" s="6" t="s">
        <v>352</v>
      </c>
      <c r="J95" s="9" t="s">
        <v>23</v>
      </c>
      <c r="K95" s="10" t="s">
        <v>24</v>
      </c>
      <c r="L95" s="11" t="s">
        <v>25</v>
      </c>
      <c r="M95" s="12" t="s">
        <v>26</v>
      </c>
    </row>
    <row r="96" customFormat="false" ht="30" hidden="false" customHeight="true" outlineLevel="0" collapsed="false">
      <c r="A96" s="13" t="s">
        <v>353</v>
      </c>
      <c r="B96" s="14" t="s">
        <v>327</v>
      </c>
      <c r="C96" s="14" t="s">
        <v>281</v>
      </c>
      <c r="D96" s="14"/>
      <c r="E96" s="14"/>
      <c r="F96" s="17" t="s">
        <v>354</v>
      </c>
      <c r="G96" s="14" t="s">
        <v>39</v>
      </c>
      <c r="H96" s="17" t="s">
        <v>355</v>
      </c>
      <c r="I96" s="14" t="s">
        <v>356</v>
      </c>
      <c r="J96" s="9" t="s">
        <v>23</v>
      </c>
      <c r="K96" s="10" t="s">
        <v>24</v>
      </c>
      <c r="L96" s="19" t="s">
        <v>25</v>
      </c>
      <c r="M96" s="20" t="s">
        <v>26</v>
      </c>
    </row>
    <row r="97" customFormat="false" ht="30" hidden="false" customHeight="true" outlineLevel="0" collapsed="false">
      <c r="A97" s="5" t="s">
        <v>357</v>
      </c>
      <c r="B97" s="6" t="s">
        <v>327</v>
      </c>
      <c r="C97" s="6" t="s">
        <v>281</v>
      </c>
      <c r="D97" s="6"/>
      <c r="E97" s="6"/>
      <c r="F97" s="8" t="s">
        <v>358</v>
      </c>
      <c r="G97" s="6" t="s">
        <v>39</v>
      </c>
      <c r="H97" s="8" t="s">
        <v>359</v>
      </c>
      <c r="I97" s="6" t="s">
        <v>360</v>
      </c>
      <c r="J97" s="18" t="s">
        <v>32</v>
      </c>
      <c r="K97" s="10" t="s">
        <v>24</v>
      </c>
      <c r="L97" s="11" t="s">
        <v>25</v>
      </c>
      <c r="M97" s="12" t="s">
        <v>33</v>
      </c>
    </row>
    <row r="98" customFormat="false" ht="30" hidden="false" customHeight="true" outlineLevel="0" collapsed="false">
      <c r="A98" s="13" t="s">
        <v>361</v>
      </c>
      <c r="B98" s="14" t="s">
        <v>327</v>
      </c>
      <c r="C98" s="14" t="s">
        <v>281</v>
      </c>
      <c r="D98" s="14"/>
      <c r="E98" s="14"/>
      <c r="F98" s="17" t="s">
        <v>362</v>
      </c>
      <c r="G98" s="14" t="s">
        <v>39</v>
      </c>
      <c r="H98" s="17" t="s">
        <v>363</v>
      </c>
      <c r="I98" s="14" t="s">
        <v>360</v>
      </c>
      <c r="J98" s="18" t="s">
        <v>32</v>
      </c>
      <c r="K98" s="10" t="s">
        <v>24</v>
      </c>
      <c r="L98" s="19" t="s">
        <v>25</v>
      </c>
      <c r="M98" s="20" t="s">
        <v>33</v>
      </c>
    </row>
    <row r="99" customFormat="false" ht="30" hidden="false" customHeight="true" outlineLevel="0" collapsed="false">
      <c r="A99" s="5" t="s">
        <v>364</v>
      </c>
      <c r="B99" s="6" t="s">
        <v>327</v>
      </c>
      <c r="C99" s="6" t="s">
        <v>281</v>
      </c>
      <c r="D99" s="7" t="s">
        <v>18</v>
      </c>
      <c r="E99" s="21" t="s">
        <v>28</v>
      </c>
      <c r="F99" s="8" t="s">
        <v>365</v>
      </c>
      <c r="G99" s="6"/>
      <c r="H99" s="8" t="s">
        <v>366</v>
      </c>
      <c r="I99" s="6"/>
      <c r="J99" s="23" t="s">
        <v>97</v>
      </c>
      <c r="K99" s="10" t="s">
        <v>24</v>
      </c>
      <c r="L99" s="11" t="s">
        <v>25</v>
      </c>
      <c r="M99" s="12" t="s">
        <v>98</v>
      </c>
    </row>
    <row r="100" customFormat="false" ht="30" hidden="false" customHeight="true" outlineLevel="0" collapsed="false">
      <c r="A100" s="13" t="s">
        <v>367</v>
      </c>
      <c r="B100" s="14" t="s">
        <v>327</v>
      </c>
      <c r="C100" s="14" t="s">
        <v>281</v>
      </c>
      <c r="D100" s="15" t="s">
        <v>18</v>
      </c>
      <c r="E100" s="16" t="s">
        <v>28</v>
      </c>
      <c r="F100" s="17" t="s">
        <v>368</v>
      </c>
      <c r="G100" s="14"/>
      <c r="H100" s="17" t="s">
        <v>369</v>
      </c>
      <c r="I100" s="14" t="s">
        <v>370</v>
      </c>
      <c r="J100" s="18" t="s">
        <v>32</v>
      </c>
      <c r="K100" s="10" t="s">
        <v>24</v>
      </c>
      <c r="L100" s="19" t="s">
        <v>25</v>
      </c>
      <c r="M100" s="20" t="s">
        <v>33</v>
      </c>
    </row>
    <row r="101" customFormat="false" ht="30" hidden="false" customHeight="true" outlineLevel="0" collapsed="false">
      <c r="A101" s="5" t="s">
        <v>371</v>
      </c>
      <c r="B101" s="6" t="s">
        <v>327</v>
      </c>
      <c r="C101" s="6" t="s">
        <v>281</v>
      </c>
      <c r="D101" s="6"/>
      <c r="E101" s="21" t="s">
        <v>28</v>
      </c>
      <c r="F101" s="8" t="s">
        <v>372</v>
      </c>
      <c r="G101" s="6"/>
      <c r="H101" s="8" t="s">
        <v>373</v>
      </c>
      <c r="I101" s="6" t="s">
        <v>374</v>
      </c>
      <c r="J101" s="18" t="s">
        <v>32</v>
      </c>
      <c r="K101" s="10" t="s">
        <v>24</v>
      </c>
      <c r="L101" s="11" t="s">
        <v>25</v>
      </c>
      <c r="M101" s="12" t="s">
        <v>33</v>
      </c>
    </row>
    <row r="102" customFormat="false" ht="30" hidden="false" customHeight="true" outlineLevel="0" collapsed="false">
      <c r="A102" s="13" t="s">
        <v>375</v>
      </c>
      <c r="B102" s="14" t="s">
        <v>327</v>
      </c>
      <c r="C102" s="14" t="s">
        <v>281</v>
      </c>
      <c r="D102" s="14"/>
      <c r="E102" s="14"/>
      <c r="F102" s="17" t="s">
        <v>376</v>
      </c>
      <c r="G102" s="14"/>
      <c r="H102" s="27" t="s">
        <v>377</v>
      </c>
      <c r="I102" s="14"/>
      <c r="J102" s="24" t="s">
        <v>132</v>
      </c>
      <c r="K102" s="10" t="s">
        <v>24</v>
      </c>
      <c r="L102" s="25"/>
      <c r="M102" s="20" t="s">
        <v>133</v>
      </c>
    </row>
    <row r="103" customFormat="false" ht="30" hidden="false" customHeight="true" outlineLevel="0" collapsed="false">
      <c r="A103" s="5" t="s">
        <v>378</v>
      </c>
      <c r="B103" s="6" t="s">
        <v>327</v>
      </c>
      <c r="C103" s="6" t="s">
        <v>281</v>
      </c>
      <c r="D103" s="6"/>
      <c r="E103" s="6"/>
      <c r="F103" s="8" t="s">
        <v>379</v>
      </c>
      <c r="G103" s="6" t="s">
        <v>39</v>
      </c>
      <c r="H103" s="8" t="s">
        <v>380</v>
      </c>
      <c r="I103" s="6" t="s">
        <v>381</v>
      </c>
      <c r="J103" s="9" t="s">
        <v>23</v>
      </c>
      <c r="K103" s="10" t="s">
        <v>24</v>
      </c>
      <c r="L103" s="11" t="s">
        <v>25</v>
      </c>
      <c r="M103" s="12" t="s">
        <v>26</v>
      </c>
    </row>
    <row r="104" customFormat="false" ht="30" hidden="false" customHeight="true" outlineLevel="0" collapsed="false">
      <c r="A104" s="13" t="s">
        <v>382</v>
      </c>
      <c r="B104" s="14" t="s">
        <v>383</v>
      </c>
      <c r="C104" s="14" t="s">
        <v>281</v>
      </c>
      <c r="D104" s="14"/>
      <c r="E104" s="14"/>
      <c r="F104" s="27" t="s">
        <v>384</v>
      </c>
      <c r="G104" s="14" t="s">
        <v>39</v>
      </c>
      <c r="H104" s="27" t="s">
        <v>385</v>
      </c>
      <c r="I104" s="14"/>
      <c r="J104" s="23" t="s">
        <v>97</v>
      </c>
      <c r="K104" s="10" t="s">
        <v>24</v>
      </c>
      <c r="L104" s="19" t="s">
        <v>25</v>
      </c>
      <c r="M104" s="20" t="s">
        <v>98</v>
      </c>
    </row>
    <row r="105" customFormat="false" ht="30" hidden="false" customHeight="true" outlineLevel="0" collapsed="false">
      <c r="A105" s="5" t="s">
        <v>386</v>
      </c>
      <c r="B105" s="6" t="s">
        <v>383</v>
      </c>
      <c r="C105" s="6" t="s">
        <v>281</v>
      </c>
      <c r="D105" s="6"/>
      <c r="E105" s="6"/>
      <c r="F105" s="26" t="s">
        <v>387</v>
      </c>
      <c r="G105" s="6" t="s">
        <v>39</v>
      </c>
      <c r="H105" s="26" t="s">
        <v>388</v>
      </c>
      <c r="I105" s="6"/>
      <c r="J105" s="23" t="s">
        <v>97</v>
      </c>
      <c r="K105" s="10" t="s">
        <v>24</v>
      </c>
      <c r="L105" s="11" t="s">
        <v>25</v>
      </c>
      <c r="M105" s="12" t="s">
        <v>98</v>
      </c>
    </row>
    <row r="106" customFormat="false" ht="30" hidden="false" customHeight="true" outlineLevel="0" collapsed="false">
      <c r="A106" s="13" t="s">
        <v>389</v>
      </c>
      <c r="B106" s="14" t="s">
        <v>383</v>
      </c>
      <c r="C106" s="14" t="s">
        <v>281</v>
      </c>
      <c r="D106" s="14"/>
      <c r="E106" s="14"/>
      <c r="F106" s="27" t="s">
        <v>390</v>
      </c>
      <c r="G106" s="14" t="s">
        <v>92</v>
      </c>
      <c r="H106" s="27" t="s">
        <v>391</v>
      </c>
      <c r="I106" s="14"/>
      <c r="J106" s="9" t="s">
        <v>23</v>
      </c>
      <c r="K106" s="10" t="s">
        <v>24</v>
      </c>
      <c r="L106" s="19" t="s">
        <v>25</v>
      </c>
      <c r="M106" s="20" t="s">
        <v>26</v>
      </c>
    </row>
    <row r="107" customFormat="false" ht="30" hidden="false" customHeight="true" outlineLevel="0" collapsed="false">
      <c r="A107" s="5" t="s">
        <v>392</v>
      </c>
      <c r="B107" s="6" t="s">
        <v>383</v>
      </c>
      <c r="C107" s="6" t="s">
        <v>281</v>
      </c>
      <c r="D107" s="6"/>
      <c r="E107" s="6"/>
      <c r="F107" s="26" t="s">
        <v>393</v>
      </c>
      <c r="G107" s="6" t="s">
        <v>39</v>
      </c>
      <c r="H107" s="26" t="s">
        <v>388</v>
      </c>
      <c r="I107" s="6"/>
      <c r="J107" s="23" t="s">
        <v>97</v>
      </c>
      <c r="K107" s="10" t="s">
        <v>24</v>
      </c>
      <c r="L107" s="11" t="s">
        <v>25</v>
      </c>
      <c r="M107" s="12" t="s">
        <v>98</v>
      </c>
    </row>
    <row r="108" customFormat="false" ht="30" hidden="false" customHeight="true" outlineLevel="0" collapsed="false">
      <c r="A108" s="13" t="s">
        <v>394</v>
      </c>
      <c r="B108" s="14" t="s">
        <v>383</v>
      </c>
      <c r="C108" s="14" t="s">
        <v>281</v>
      </c>
      <c r="D108" s="14"/>
      <c r="E108" s="14"/>
      <c r="F108" s="27" t="s">
        <v>395</v>
      </c>
      <c r="G108" s="14" t="s">
        <v>92</v>
      </c>
      <c r="H108" s="27" t="s">
        <v>396</v>
      </c>
      <c r="I108" s="14"/>
      <c r="J108" s="23" t="s">
        <v>97</v>
      </c>
      <c r="K108" s="10" t="s">
        <v>24</v>
      </c>
      <c r="L108" s="19" t="s">
        <v>25</v>
      </c>
      <c r="M108" s="20" t="s">
        <v>98</v>
      </c>
    </row>
    <row r="109" customFormat="false" ht="30" hidden="false" customHeight="true" outlineLevel="0" collapsed="false">
      <c r="A109" s="5" t="s">
        <v>397</v>
      </c>
      <c r="B109" s="6" t="s">
        <v>383</v>
      </c>
      <c r="C109" s="6" t="s">
        <v>281</v>
      </c>
      <c r="D109" s="6"/>
      <c r="E109" s="6"/>
      <c r="F109" s="26" t="s">
        <v>398</v>
      </c>
      <c r="G109" s="6" t="s">
        <v>92</v>
      </c>
      <c r="H109" s="26" t="s">
        <v>399</v>
      </c>
      <c r="I109" s="6"/>
      <c r="J109" s="23" t="s">
        <v>97</v>
      </c>
      <c r="K109" s="10" t="s">
        <v>24</v>
      </c>
      <c r="L109" s="11" t="s">
        <v>25</v>
      </c>
      <c r="M109" s="12" t="s">
        <v>98</v>
      </c>
    </row>
    <row r="110" customFormat="false" ht="30" hidden="false" customHeight="true" outlineLevel="0" collapsed="false">
      <c r="A110" s="13" t="s">
        <v>400</v>
      </c>
      <c r="B110" s="14" t="s">
        <v>383</v>
      </c>
      <c r="C110" s="14" t="s">
        <v>281</v>
      </c>
      <c r="D110" s="14"/>
      <c r="E110" s="14"/>
      <c r="F110" s="27" t="s">
        <v>401</v>
      </c>
      <c r="G110" s="14" t="s">
        <v>39</v>
      </c>
      <c r="H110" s="27" t="s">
        <v>402</v>
      </c>
      <c r="I110" s="14" t="s">
        <v>403</v>
      </c>
      <c r="J110" s="9" t="s">
        <v>23</v>
      </c>
      <c r="K110" s="10" t="s">
        <v>24</v>
      </c>
      <c r="L110" s="19" t="s">
        <v>25</v>
      </c>
      <c r="M110" s="20" t="s">
        <v>26</v>
      </c>
    </row>
  </sheetData>
  <autoFilter ref="A4:M110"/>
  <mergeCells count="2">
    <mergeCell ref="A1:M1"/>
    <mergeCell ref="A2:M2"/>
  </mergeCells>
  <dataValidations count="1">
    <dataValidation allowBlank="true" errorStyle="stop" operator="between" prompt="选择当前状态" promptTitle="获取状态" showDropDown="false" showErrorMessage="false" showInputMessage="false" sqref="K5:K110" type="list">
      <formula1>"未获取,已下载,已读,不需要"</formula1>
      <formula2>0</formula2>
    </dataValidation>
  </dataValidations>
  <hyperlinks>
    <hyperlink ref="L5" r:id="rId1" display="打开"/>
    <hyperlink ref="L6" r:id="rId2" display="打开"/>
    <hyperlink ref="L7" r:id="rId3" display="打开"/>
    <hyperlink ref="L8" r:id="rId4" display="打开"/>
    <hyperlink ref="L9" r:id="rId5" display="打开"/>
    <hyperlink ref="L10" r:id="rId6" display="打开"/>
    <hyperlink ref="L11" r:id="rId7" display="打开"/>
    <hyperlink ref="L12" r:id="rId8" display="打开"/>
    <hyperlink ref="L13" r:id="rId9" display="打开"/>
    <hyperlink ref="L14" r:id="rId10" display="打开"/>
    <hyperlink ref="L15" r:id="rId11" display="打开"/>
    <hyperlink ref="L16" r:id="rId12" display="打开"/>
    <hyperlink ref="L18" r:id="rId13" display="打开"/>
    <hyperlink ref="L19" r:id="rId14" display="打开"/>
    <hyperlink ref="L20" r:id="rId15" display="打开"/>
    <hyperlink ref="L21" r:id="rId16" display="打开"/>
    <hyperlink ref="L22" r:id="rId17" display="打开"/>
    <hyperlink ref="L23" r:id="rId18" display="打开"/>
    <hyperlink ref="L24" r:id="rId19" display="打开"/>
    <hyperlink ref="L25" r:id="rId20" display="打开"/>
    <hyperlink ref="L26" r:id="rId21" display="打开"/>
    <hyperlink ref="L27" r:id="rId22" display="打开"/>
    <hyperlink ref="L28" r:id="rId23" display="打开"/>
    <hyperlink ref="L29" r:id="rId24" display="打开"/>
    <hyperlink ref="L30" r:id="rId25" display="打开"/>
    <hyperlink ref="L31" r:id="rId26" display="打开"/>
    <hyperlink ref="L33" r:id="rId27" display="打开"/>
    <hyperlink ref="L34" r:id="rId28" display="打开"/>
    <hyperlink ref="L35" r:id="rId29" display="打开"/>
    <hyperlink ref="L36" r:id="rId30" display="打开"/>
    <hyperlink ref="L37" r:id="rId31" display="打开"/>
    <hyperlink ref="L38" r:id="rId32" display="打开"/>
    <hyperlink ref="L39" r:id="rId33" display="打开"/>
    <hyperlink ref="L40" r:id="rId34" display="打开"/>
    <hyperlink ref="L41" r:id="rId35" display="打开"/>
    <hyperlink ref="L42" r:id="rId36" display="打开"/>
    <hyperlink ref="L43" r:id="rId37" display="打开"/>
    <hyperlink ref="L44" r:id="rId38" display="打开"/>
    <hyperlink ref="L45" r:id="rId39" display="打开"/>
    <hyperlink ref="L46" r:id="rId40" display="打开"/>
    <hyperlink ref="L47" r:id="rId41" display="打开"/>
    <hyperlink ref="L50" r:id="rId42" display="打开"/>
    <hyperlink ref="L52" r:id="rId43" display="打开"/>
    <hyperlink ref="L53" r:id="rId44" display="打开"/>
    <hyperlink ref="L54" r:id="rId45" display="打开"/>
    <hyperlink ref="L55" r:id="rId46" display="打开"/>
    <hyperlink ref="L56" r:id="rId47" display="打开"/>
    <hyperlink ref="L57" r:id="rId48" display="打开"/>
    <hyperlink ref="L59" r:id="rId49" display="打开"/>
    <hyperlink ref="L60" r:id="rId50" display="打开"/>
    <hyperlink ref="L61" r:id="rId51" display="打开"/>
    <hyperlink ref="L62" r:id="rId52" display="打开"/>
    <hyperlink ref="L63" r:id="rId53" display="打开"/>
    <hyperlink ref="L66" r:id="rId54" display="打开"/>
    <hyperlink ref="L68" r:id="rId55" display="打开"/>
    <hyperlink ref="L71" r:id="rId56" display="打开"/>
    <hyperlink ref="L72" r:id="rId57" display="打开"/>
    <hyperlink ref="L73" r:id="rId58" display="打开"/>
    <hyperlink ref="L74" r:id="rId59" display="打开"/>
    <hyperlink ref="L75" r:id="rId60" display="打开"/>
    <hyperlink ref="L76" r:id="rId61" display="打开"/>
    <hyperlink ref="L77" r:id="rId62" display="打开"/>
    <hyperlink ref="L78" r:id="rId63" display="打开"/>
    <hyperlink ref="L79" r:id="rId64" display="打开"/>
    <hyperlink ref="L80" r:id="rId65" display="打开"/>
    <hyperlink ref="L81" r:id="rId66" display="打开"/>
    <hyperlink ref="L82" r:id="rId67" display="打开"/>
    <hyperlink ref="L83" r:id="rId68" display="打开"/>
    <hyperlink ref="L84" r:id="rId69" display="打开"/>
    <hyperlink ref="L85" r:id="rId70" display="打开"/>
    <hyperlink ref="L89" r:id="rId71" display="打开"/>
    <hyperlink ref="L90" r:id="rId72" display="打开"/>
    <hyperlink ref="L91" r:id="rId73" display="打开"/>
    <hyperlink ref="L92" r:id="rId74" display="打开"/>
    <hyperlink ref="L93" r:id="rId75" display="打开"/>
    <hyperlink ref="L94" r:id="rId76" display="打开"/>
    <hyperlink ref="L95" r:id="rId77" display="打开"/>
    <hyperlink ref="L96" r:id="rId78" display="打开"/>
    <hyperlink ref="L97" r:id="rId79" display="打开"/>
    <hyperlink ref="L98" r:id="rId80" display="打开"/>
    <hyperlink ref="L99" r:id="rId81" display="打开"/>
    <hyperlink ref="L100" r:id="rId82" display="打开"/>
    <hyperlink ref="L101" r:id="rId83" display="打开"/>
    <hyperlink ref="L103" r:id="rId84" display="打开"/>
    <hyperlink ref="L104" r:id="rId85" display="打开"/>
    <hyperlink ref="L105" r:id="rId86" display="打开"/>
    <hyperlink ref="L106" r:id="rId87" display="打开"/>
    <hyperlink ref="L107" r:id="rId88" display="打开"/>
    <hyperlink ref="L108" r:id="rId89" display="打开"/>
    <hyperlink ref="L109" r:id="rId90" display="打开"/>
    <hyperlink ref="L110" r:id="rId91" display="打开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28" t="s">
        <v>404</v>
      </c>
    </row>
    <row r="2" customFormat="false" ht="15" hidden="false" customHeight="false" outlineLevel="0" collapsed="false">
      <c r="A2" s="29" t="s">
        <v>405</v>
      </c>
    </row>
    <row r="4" customFormat="false" ht="15" hidden="false" customHeight="false" outlineLevel="0" collapsed="false">
      <c r="A4" s="30" t="s">
        <v>406</v>
      </c>
    </row>
    <row r="5" customFormat="false" ht="15" hidden="false" customHeight="false" outlineLevel="0" collapsed="false">
      <c r="A5" s="31" t="s">
        <v>11</v>
      </c>
      <c r="B5" s="31" t="s">
        <v>407</v>
      </c>
      <c r="C5" s="31" t="s">
        <v>408</v>
      </c>
      <c r="D5" s="31" t="s">
        <v>409</v>
      </c>
    </row>
    <row r="6" customFormat="false" ht="15" hidden="false" customHeight="false" outlineLevel="0" collapsed="false">
      <c r="A6" s="32" t="s">
        <v>23</v>
      </c>
      <c r="B6" s="33" t="n">
        <f aca="false">COUNTIF(获取清单!$J$5:$J$110,A6)</f>
        <v>50</v>
      </c>
      <c r="C6" s="33" t="n">
        <f aca="false">COUNTIFS(获取清单!$J$5:$J$110,A6,获取清单!$K$5:$K$110,"已下载")</f>
        <v>0</v>
      </c>
      <c r="D6" s="33" t="n">
        <f aca="false">B6-C6</f>
        <v>50</v>
      </c>
    </row>
    <row r="7" customFormat="false" ht="15" hidden="false" customHeight="false" outlineLevel="0" collapsed="false">
      <c r="A7" s="34" t="s">
        <v>97</v>
      </c>
      <c r="B7" s="33" t="n">
        <f aca="false">COUNTIF(获取清单!$J$5:$J$110,A7)</f>
        <v>15</v>
      </c>
      <c r="C7" s="33" t="n">
        <f aca="false">COUNTIFS(获取清单!$J$5:$J$110,A7,获取清单!$K$5:$K$110,"已下载")</f>
        <v>0</v>
      </c>
      <c r="D7" s="33" t="n">
        <f aca="false">B7-C7</f>
        <v>15</v>
      </c>
    </row>
    <row r="8" customFormat="false" ht="15" hidden="false" customHeight="false" outlineLevel="0" collapsed="false">
      <c r="A8" s="35" t="s">
        <v>32</v>
      </c>
      <c r="B8" s="33" t="n">
        <f aca="false">COUNTIF(获取清单!$J$5:$J$110,A8)</f>
        <v>39</v>
      </c>
      <c r="C8" s="33" t="n">
        <f aca="false">COUNTIFS(获取清单!$J$5:$J$110,A8,获取清单!$K$5:$K$110,"已下载")</f>
        <v>0</v>
      </c>
      <c r="D8" s="33" t="n">
        <f aca="false">B8-C8</f>
        <v>39</v>
      </c>
    </row>
    <row r="9" customFormat="false" ht="15" hidden="false" customHeight="false" outlineLevel="0" collapsed="false">
      <c r="A9" s="36" t="s">
        <v>132</v>
      </c>
      <c r="B9" s="33" t="n">
        <f aca="false">COUNTIF(获取清单!$J$5:$J$110,A9)</f>
        <v>2</v>
      </c>
      <c r="C9" s="33" t="n">
        <f aca="false">COUNTIFS(获取清单!$J$5:$J$110,A9,获取清单!$K$5:$K$110,"已下载")</f>
        <v>0</v>
      </c>
      <c r="D9" s="33" t="n">
        <f aca="false">B9-C9</f>
        <v>2</v>
      </c>
    </row>
    <row r="10" customFormat="false" ht="15" hidden="false" customHeight="false" outlineLevel="0" collapsed="false">
      <c r="A10" s="37" t="s">
        <v>410</v>
      </c>
      <c r="B10" s="37" t="n">
        <f aca="false">SUM(B6:B9)</f>
        <v>106</v>
      </c>
      <c r="C10" s="37" t="n">
        <f aca="false">SUM(C6:C9)</f>
        <v>0</v>
      </c>
      <c r="D10" s="37" t="n">
        <f aca="false">SUM(D6:D9)</f>
        <v>106</v>
      </c>
    </row>
    <row r="12" customFormat="false" ht="15" hidden="false" customHeight="false" outlineLevel="0" collapsed="false">
      <c r="A12" s="30" t="s">
        <v>411</v>
      </c>
    </row>
    <row r="13" customFormat="false" ht="15" hidden="false" customHeight="false" outlineLevel="0" collapsed="false">
      <c r="A13" s="31" t="s">
        <v>3</v>
      </c>
      <c r="B13" s="31" t="s">
        <v>407</v>
      </c>
      <c r="C13" s="31" t="s">
        <v>408</v>
      </c>
    </row>
    <row r="14" customFormat="false" ht="15" hidden="false" customHeight="false" outlineLevel="0" collapsed="false">
      <c r="A14" s="33" t="s">
        <v>16</v>
      </c>
      <c r="B14" s="33" t="n">
        <f aca="false">COUNTIF(获取清单!$B$5:$B$110,A14)</f>
        <v>39</v>
      </c>
      <c r="C14" s="33" t="n">
        <f aca="false">COUNTIFS(获取清单!$B$5:$B$110,A14,获取清单!$K$5:$K$110,"已下载")</f>
        <v>0</v>
      </c>
    </row>
    <row r="15" customFormat="false" ht="15" hidden="false" customHeight="false" outlineLevel="0" collapsed="false">
      <c r="A15" s="33" t="s">
        <v>177</v>
      </c>
      <c r="B15" s="33" t="n">
        <f aca="false">COUNTIF(获取清单!$B$5:$B$110,A15)</f>
        <v>45</v>
      </c>
      <c r="C15" s="33" t="n">
        <f aca="false">COUNTIFS(获取清单!$B$5:$B$110,A15,获取清单!$K$5:$K$110,"已下载")</f>
        <v>0</v>
      </c>
    </row>
    <row r="16" customFormat="false" ht="15" hidden="false" customHeight="false" outlineLevel="0" collapsed="false">
      <c r="A16" s="33" t="s">
        <v>327</v>
      </c>
      <c r="B16" s="33" t="n">
        <f aca="false">COUNTIF(获取清单!$B$5:$B$110,A16)</f>
        <v>15</v>
      </c>
      <c r="C16" s="33" t="n">
        <f aca="false">COUNTIFS(获取清单!$B$5:$B$110,A16,获取清单!$K$5:$K$110,"已下载")</f>
        <v>0</v>
      </c>
    </row>
    <row r="17" customFormat="false" ht="15" hidden="false" customHeight="false" outlineLevel="0" collapsed="false">
      <c r="A17" s="33" t="s">
        <v>383</v>
      </c>
      <c r="B17" s="33" t="n">
        <f aca="false">COUNTIF(获取清单!$B$5:$B$110,A17)</f>
        <v>7</v>
      </c>
      <c r="C17" s="33" t="n">
        <f aca="false">COUNTIFS(获取清单!$B$5:$B$110,A17,获取清单!$K$5:$K$110,"已下载")</f>
        <v>0</v>
      </c>
    </row>
    <row r="19" customFormat="false" ht="15" hidden="false" customHeight="false" outlineLevel="0" collapsed="false">
      <c r="A19" s="30" t="s">
        <v>412</v>
      </c>
    </row>
    <row r="20" customFormat="false" ht="15" hidden="false" customHeight="false" outlineLevel="0" collapsed="false">
      <c r="A20" s="38" t="s">
        <v>413</v>
      </c>
      <c r="B20" s="38" t="n">
        <f aca="false">COUNTIF(获取清单!$D$5:$D$110,"必读")</f>
        <v>22</v>
      </c>
    </row>
    <row r="21" customFormat="false" ht="15" hidden="false" customHeight="false" outlineLevel="0" collapsed="false">
      <c r="A21" s="38" t="s">
        <v>414</v>
      </c>
      <c r="B21" s="38" t="n">
        <f aca="false">COUNTIFS(获取清单!$D$5:$D$110,"必读",获取清单!$K$5:$K$110,"已下载")</f>
        <v>0</v>
      </c>
    </row>
    <row r="22" customFormat="false" ht="15" hidden="false" customHeight="false" outlineLevel="0" collapsed="false">
      <c r="A22" s="38" t="s">
        <v>415</v>
      </c>
      <c r="B22" s="39" t="n">
        <f aca="false">IFERROR(B21/B20,0)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28" t="s">
        <v>416</v>
      </c>
    </row>
    <row r="2" customFormat="false" ht="15.75" hidden="false" customHeight="true" outlineLevel="0" collapsed="false">
      <c r="A2" s="40"/>
    </row>
    <row r="3" customFormat="false" ht="15.75" hidden="false" customHeight="true" outlineLevel="0" collapsed="false">
      <c r="A3" s="41" t="s">
        <v>417</v>
      </c>
    </row>
    <row r="4" customFormat="false" ht="30" hidden="false" customHeight="true" outlineLevel="0" collapsed="false">
      <c r="A4" s="42" t="s">
        <v>418</v>
      </c>
    </row>
    <row r="5" customFormat="false" ht="15.75" hidden="false" customHeight="true" outlineLevel="0" collapsed="false">
      <c r="A5" s="40"/>
    </row>
    <row r="6" customFormat="false" ht="15.75" hidden="false" customHeight="true" outlineLevel="0" collapsed="false">
      <c r="A6" s="41" t="s">
        <v>419</v>
      </c>
    </row>
    <row r="7" customFormat="false" ht="15.75" hidden="false" customHeight="true" outlineLevel="0" collapsed="false">
      <c r="A7" s="42" t="s">
        <v>420</v>
      </c>
    </row>
    <row r="8" customFormat="false" ht="15.75" hidden="false" customHeight="true" outlineLevel="0" collapsed="false">
      <c r="A8" s="43" t="s">
        <v>421</v>
      </c>
    </row>
    <row r="9" customFormat="false" ht="30" hidden="false" customHeight="true" outlineLevel="0" collapsed="false">
      <c r="A9" s="40" t="s">
        <v>422</v>
      </c>
    </row>
    <row r="10" customFormat="false" ht="15.75" hidden="false" customHeight="true" outlineLevel="0" collapsed="false">
      <c r="A10" s="44" t="s">
        <v>423</v>
      </c>
    </row>
    <row r="11" customFormat="false" ht="15.75" hidden="false" customHeight="true" outlineLevel="0" collapsed="false">
      <c r="A11" s="40"/>
    </row>
    <row r="12" customFormat="false" ht="15.75" hidden="false" customHeight="true" outlineLevel="0" collapsed="false">
      <c r="A12" s="41" t="s">
        <v>424</v>
      </c>
    </row>
    <row r="13" customFormat="false" ht="15.75" hidden="false" customHeight="true" outlineLevel="0" collapsed="false">
      <c r="A13" s="42" t="s">
        <v>425</v>
      </c>
    </row>
    <row r="14" customFormat="false" ht="15.75" hidden="false" customHeight="true" outlineLevel="0" collapsed="false">
      <c r="A14" s="40"/>
    </row>
    <row r="15" customFormat="false" ht="15.75" hidden="false" customHeight="true" outlineLevel="0" collapsed="false">
      <c r="A15" s="41" t="s">
        <v>426</v>
      </c>
    </row>
    <row r="16" customFormat="false" ht="15.75" hidden="false" customHeight="true" outlineLevel="0" collapsed="false">
      <c r="A16" s="42" t="s">
        <v>427</v>
      </c>
    </row>
    <row r="17" customFormat="false" ht="15.75" hidden="false" customHeight="true" outlineLevel="0" collapsed="false">
      <c r="A17" s="40"/>
    </row>
    <row r="18" customFormat="false" ht="15.75" hidden="false" customHeight="true" outlineLevel="0" collapsed="false">
      <c r="A18" s="41" t="s">
        <v>428</v>
      </c>
    </row>
    <row r="19" customFormat="false" ht="30" hidden="false" customHeight="true" outlineLevel="0" collapsed="false">
      <c r="A19" s="42" t="s">
        <v>429</v>
      </c>
    </row>
    <row r="20" customFormat="false" ht="15.75" hidden="false" customHeight="true" outlineLevel="0" collapsed="false">
      <c r="A20" s="40"/>
    </row>
    <row r="21" customFormat="false" ht="15.75" hidden="false" customHeight="true" outlineLevel="0" collapsed="false">
      <c r="A21" s="41" t="s">
        <v>430</v>
      </c>
    </row>
    <row r="22" customFormat="false" ht="30" hidden="false" customHeight="true" outlineLevel="0" collapsed="false">
      <c r="A22" s="40" t="s">
        <v>431</v>
      </c>
    </row>
    <row r="23" customFormat="false" ht="15.75" hidden="false" customHeight="true" outlineLevel="0" collapsed="false">
      <c r="A23" s="40"/>
    </row>
    <row r="24" customFormat="false" ht="15.75" hidden="false" customHeight="true" outlineLevel="0" collapsed="false">
      <c r="A24" s="41" t="s">
        <v>432</v>
      </c>
    </row>
    <row r="25" customFormat="false" ht="15.75" hidden="false" customHeight="true" outlineLevel="0" collapsed="false">
      <c r="A25" s="40" t="s">
        <v>433</v>
      </c>
    </row>
    <row r="26" customFormat="false" ht="15.75" hidden="false" customHeight="true" outlineLevel="0" collapsed="false">
      <c r="A26" s="40" t="s">
        <v>434</v>
      </c>
    </row>
    <row r="27" customFormat="false" ht="15.75" hidden="false" customHeight="true" outlineLevel="0" collapsed="false">
      <c r="A27" s="40" t="s">
        <v>435</v>
      </c>
    </row>
    <row r="28" customFormat="false" ht="30" hidden="false" customHeight="true" outlineLevel="0" collapsed="false">
      <c r="A28" s="40" t="s">
        <v>436</v>
      </c>
    </row>
    <row r="29" customFormat="false" ht="15.75" hidden="false" customHeight="true" outlineLevel="0" collapsed="false">
      <c r="A29" s="40" t="s">
        <v>437</v>
      </c>
    </row>
    <row r="30" customFormat="false" ht="15.75" hidden="false" customHeight="true" outlineLevel="0" collapsed="false">
      <c r="A30" s="40"/>
    </row>
    <row r="31" customFormat="false" ht="15.75" hidden="false" customHeight="true" outlineLevel="0" collapsed="false">
      <c r="A31" s="45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2026-09-15T16:38:15Z</dcterms:created>
  <dc:creator>openpyxl</dc:creator>
  <dc:description/>
  <dc:language>en-US</dc:language>
  <cp:lastModifiedBy/>
  <dcterms:modified xsi:type="dcterms:W3CDTF">2026-09-15T16:38:15Z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